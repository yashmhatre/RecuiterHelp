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Weekly Plan" sheetId="3" state="visible" r:id="rId3"/>
    <sheet xmlns:r="http://schemas.openxmlformats.org/officeDocument/2006/relationships" name="Checkpoints" sheetId="4" state="visible" r:id="rId4"/>
    <sheet xmlns:r="http://schemas.openxmlformats.org/officeDocument/2006/relationships" name="Glossary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1" hidden="1">'Features'!$A$4:$S$120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dd mmm"/>
  </numFmts>
  <fonts count="12">
    <font>
      <name val="Calibri"/>
      <family val="2"/>
      <color theme="1"/>
      <sz val="11"/>
      <scheme val="minor"/>
    </font>
    <font>
      <name val="Arial"/>
      <b val="1"/>
      <color rgb="0014154A"/>
      <sz val="16"/>
    </font>
    <font>
      <name val="Arial"/>
      <color rgb="005A5E73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A5E73"/>
      <sz val="9"/>
    </font>
    <font>
      <name val="Arial"/>
      <b val="1"/>
      <sz val="10"/>
    </font>
    <font>
      <name val="Arial"/>
      <b val="1"/>
      <color rgb="0014154A"/>
      <sz val="10"/>
    </font>
    <font>
      <name val="Arial"/>
      <color rgb="000000FF"/>
      <sz val="10"/>
    </font>
    <font>
      <name val="Arial"/>
      <sz val="11"/>
    </font>
    <font>
      <name val="Arial"/>
      <b val="1"/>
      <color rgb="005B4CF2"/>
      <sz val="14"/>
    </font>
    <font>
      <name val="Arial"/>
      <b val="1"/>
      <color rgb="0014154A"/>
      <sz val="11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4154A"/>
      </patternFill>
    </fill>
    <fill>
      <patternFill patternType="solid">
        <fgColor rgb="00F6F7FB"/>
      </patternFill>
    </fill>
  </fills>
  <borders count="2">
    <border>
      <left/>
      <right/>
      <top/>
      <bottom/>
      <diagonal/>
    </border>
    <border>
      <left style="thin">
        <color rgb="00D9DCE8"/>
      </left>
      <right style="thin">
        <color rgb="00D9DCE8"/>
      </right>
      <top style="thin">
        <color rgb="00D9DCE8"/>
      </top>
      <bottom style="thin">
        <color rgb="00D9DCE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9" fillId="0" borderId="0" pivotButton="0" quotePrefix="0" xfId="0"/>
    <xf numFmtId="9" fontId="10" fillId="0" borderId="0" pivotButton="0" quotePrefix="0" xfId="0"/>
    <xf numFmtId="1" fontId="11" fillId="0" borderId="0" pivotButton="0" quotePrefix="0" xfId="0"/>
    <xf numFmtId="49" fontId="11" fillId="0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horizontal="center" vertical="top" wrapText="1"/>
    </xf>
    <xf numFmtId="9" fontId="4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9" fontId="8" fillId="0" borderId="1" applyAlignment="1" pivotButton="0" quotePrefix="0" xfId="0">
      <alignment horizontal="center" vertical="top" wrapText="1"/>
    </xf>
    <xf numFmtId="9" fontId="4" fillId="2" borderId="1" applyAlignment="1" pivotButton="0" quotePrefix="0" xfId="0">
      <alignment horizontal="center" vertical="top" wrapText="1"/>
    </xf>
    <xf numFmtId="1" fontId="8" fillId="0" borderId="1" applyAlignment="1" pivotButton="0" quotePrefix="0" xfId="0">
      <alignment horizontal="center" vertical="top" wrapText="1"/>
    </xf>
    <xf numFmtId="1" fontId="4" fillId="2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3" fillId="3" borderId="0" pivotButton="0" quotePrefix="0" xfId="0"/>
    <xf numFmtId="165" fontId="4" fillId="2" borderId="0" pivotButton="0" quotePrefix="0" xfId="0"/>
    <xf numFmtId="9" fontId="4" fillId="0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B42318"/>
      </font>
    </dxf>
    <dxf>
      <font>
        <name val="Arial"/>
        <b val="1"/>
        <color rgb="00146E36"/>
      </font>
      <fill>
        <patternFill patternType="solid">
          <fgColor rgb="00DDF3E4"/>
        </patternFill>
      </fill>
    </dxf>
    <dxf>
      <font>
        <name val="Arial"/>
        <b val="1"/>
        <color rgb="003F31C8"/>
      </font>
      <fill>
        <patternFill patternType="solid">
          <fgColor rgb="00E6E3FF"/>
        </patternFill>
      </fill>
    </dxf>
    <dxf>
      <font>
        <name val="Arial"/>
        <b val="1"/>
        <color rgb="001D4ED8"/>
      </font>
      <fill>
        <patternFill patternType="solid">
          <fgColor rgb="00DCEBFF"/>
        </patternFill>
      </fill>
    </dxf>
    <dxf>
      <font>
        <name val="Arial"/>
        <b val="1"/>
        <color rgb="00B42318"/>
      </font>
      <fill>
        <patternFill patternType="solid">
          <fgColor rgb="00FDE2E2"/>
        </patternFill>
      </fill>
    </dxf>
    <dxf>
      <font>
        <name val="Arial"/>
        <b val="1"/>
        <color rgb="004B4E68"/>
      </font>
      <fill>
        <patternFill patternType="solid">
          <fgColor rgb="00F1F1F5"/>
        </patternFill>
      </fill>
    </dxf>
    <dxf>
      <font>
        <name val="Arial"/>
        <b val="1"/>
        <color rgb="009396A8"/>
      </font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Plan</author>
  </authors>
  <commentList>
    <comment ref="B5" authorId="0" shapeId="0">
      <text>
        <t>From the FORGE AI 2-Developer 13-Week Plan. Change it and all due dates update.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5B4CF2"/>
    <outlinePr summaryBelow="1" summaryRight="1"/>
    <pageSetUpPr fitToPage="1"/>
  </sheetPr>
  <dimension ref="A1:F6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FORGE AI: delivery summary</t>
        </is>
      </c>
    </row>
    <row r="2">
      <c r="A2" s="2" t="inlineStr">
        <is>
          <t>Everything on this page is worked out from the Features sheet. Nothing here needs typing.</t>
        </is>
      </c>
    </row>
    <row r="4">
      <c r="A4" s="3" t="inlineStr">
        <is>
          <t>Overall % done</t>
        </is>
      </c>
      <c r="B4" s="4">
        <f>AVERAGE(Features!$R$5:$R$120)</f>
        <v/>
      </c>
    </row>
    <row r="5">
      <c r="A5" s="3" t="inlineStr">
        <is>
          <t>Features in total</t>
        </is>
      </c>
      <c r="B5" s="5">
        <f>COUNTIF(Features!$C$5:$C$120,"&lt;&gt;")</f>
        <v/>
      </c>
    </row>
    <row r="6">
      <c r="A6" s="3" t="inlineStr">
        <is>
          <t>Must-have features done</t>
        </is>
      </c>
      <c r="B6" s="6">
        <f>COUNTIFS(Features!$L$5:$L$120,"Yes",Features!$Q$5:$Q$120,"Done")&amp;" of "&amp;COUNTIF(Features!$L$5:$L$120,"Yes")</f>
        <v/>
      </c>
    </row>
    <row r="7">
      <c r="A7" s="3" t="inlineStr">
        <is>
          <t>Features stuck right now</t>
        </is>
      </c>
      <c r="B7" s="5">
        <f>COUNTIF(Features!$Q$5:$Q$120,"Stuck")</f>
        <v/>
      </c>
    </row>
    <row r="10">
      <c r="A10" s="7" t="inlineStr">
        <is>
          <t>Features by status</t>
        </is>
      </c>
    </row>
    <row r="11">
      <c r="A11" s="8" t="inlineStr">
        <is>
          <t>Status</t>
        </is>
      </c>
      <c r="B11" s="8" t="inlineStr">
        <is>
          <t>Features</t>
        </is>
      </c>
      <c r="C11" s="8" t="inlineStr">
        <is>
          <t>Share</t>
        </is>
      </c>
    </row>
    <row r="12">
      <c r="A12" s="9" t="inlineStr">
        <is>
          <t>Not started</t>
        </is>
      </c>
      <c r="B12" s="10">
        <f>COUNTIF(Features!$Q$5:$Q$120,A12)</f>
        <v/>
      </c>
      <c r="C12" s="11">
        <f>IFERROR(B12/$B$5,0)</f>
        <v/>
      </c>
    </row>
    <row r="13">
      <c r="A13" s="9" t="inlineStr">
        <is>
          <t>In progress</t>
        </is>
      </c>
      <c r="B13" s="10">
        <f>COUNTIF(Features!$Q$5:$Q$120,A13)</f>
        <v/>
      </c>
      <c r="C13" s="11">
        <f>IFERROR(B13/$B$5,0)</f>
        <v/>
      </c>
    </row>
    <row r="14">
      <c r="A14" s="9" t="inlineStr">
        <is>
          <t>Being checked</t>
        </is>
      </c>
      <c r="B14" s="10">
        <f>COUNTIF(Features!$Q$5:$Q$120,A14)</f>
        <v/>
      </c>
      <c r="C14" s="11">
        <f>IFERROR(B14/$B$5,0)</f>
        <v/>
      </c>
    </row>
    <row r="15">
      <c r="A15" s="9" t="inlineStr">
        <is>
          <t>Done</t>
        </is>
      </c>
      <c r="B15" s="10">
        <f>COUNTIF(Features!$Q$5:$Q$120,A15)</f>
        <v/>
      </c>
      <c r="C15" s="11">
        <f>IFERROR(B15/$B$5,0)</f>
        <v/>
      </c>
    </row>
    <row r="16">
      <c r="A16" s="9" t="inlineStr">
        <is>
          <t>Stuck</t>
        </is>
      </c>
      <c r="B16" s="10">
        <f>COUNTIF(Features!$Q$5:$Q$120,A16)</f>
        <v/>
      </c>
      <c r="C16" s="11">
        <f>IFERROR(B16/$B$5,0)</f>
        <v/>
      </c>
    </row>
    <row r="18">
      <c r="A18" s="7" t="inlineStr">
        <is>
          <t>Progress by phase</t>
        </is>
      </c>
    </row>
    <row r="19">
      <c r="A19" s="8" t="inlineStr">
        <is>
          <t>Phase</t>
        </is>
      </c>
      <c r="B19" s="8" t="inlineStr">
        <is>
          <t>Features</t>
        </is>
      </c>
      <c r="C19" s="8" t="inlineStr">
        <is>
          <t>Done</t>
        </is>
      </c>
      <c r="D19" s="8" t="inlineStr">
        <is>
          <t>% done</t>
        </is>
      </c>
    </row>
    <row r="20">
      <c r="A20" s="9" t="inlineStr">
        <is>
          <t>Phase 1: Accounts and job matching</t>
        </is>
      </c>
      <c r="B20" s="10">
        <f>COUNTIF(Features!$G$5:$G$120,A20)</f>
        <v/>
      </c>
      <c r="C20" s="10">
        <f>COUNTIFS(Features!$G$5:$G$120,A20,Features!$Q$5:$Q$120,"Done")</f>
        <v/>
      </c>
      <c r="D20" s="11">
        <f>IFERROR(AVERAGEIF(Features!$G$5:$G$120,A20,Features!$R$5:$R$120),0)</f>
        <v/>
      </c>
    </row>
    <row r="21">
      <c r="A21" s="9" t="inlineStr">
        <is>
          <t>Phase 2: Resumes, learning and own voice</t>
        </is>
      </c>
      <c r="B21" s="10">
        <f>COUNTIF(Features!$G$5:$G$120,A21)</f>
        <v/>
      </c>
      <c r="C21" s="10">
        <f>COUNTIFS(Features!$G$5:$G$120,A21,Features!$Q$5:$Q$120,"Done")</f>
        <v/>
      </c>
      <c r="D21" s="11">
        <f>IFERROR(AVERAGEIF(Features!$G$5:$G$120,A21,Features!$R$5:$R$120),0)</f>
        <v/>
      </c>
    </row>
    <row r="22">
      <c r="A22" s="9" t="inlineStr">
        <is>
          <t>Phase 3: Interview practice and LinkedIn</t>
        </is>
      </c>
      <c r="B22" s="10">
        <f>COUNTIF(Features!$G$5:$G$120,A22)</f>
        <v/>
      </c>
      <c r="C22" s="10">
        <f>COUNTIFS(Features!$G$5:$G$120,A22,Features!$Q$5:$Q$120,"Done")</f>
        <v/>
      </c>
      <c r="D22" s="11">
        <f>IFERROR(AVERAGEIF(Features!$G$5:$G$120,A22,Features!$R$5:$R$120),0)</f>
        <v/>
      </c>
    </row>
    <row r="23">
      <c r="A23" s="9" t="inlineStr">
        <is>
          <t>Phase 4: Progress tracking and organisations</t>
        </is>
      </c>
      <c r="B23" s="10">
        <f>COUNTIF(Features!$G$5:$G$120,A23)</f>
        <v/>
      </c>
      <c r="C23" s="10">
        <f>COUNTIFS(Features!$G$5:$G$120,A23,Features!$Q$5:$Q$120,"Done")</f>
        <v/>
      </c>
      <c r="D23" s="11">
        <f>IFERROR(AVERAGEIF(Features!$G$5:$G$120,A23,Features!$R$5:$R$120),0)</f>
        <v/>
      </c>
    </row>
    <row r="24">
      <c r="A24" s="9" t="inlineStr">
        <is>
          <t>Phase 5: Launch checks</t>
        </is>
      </c>
      <c r="B24" s="10">
        <f>COUNTIF(Features!$G$5:$G$120,A24)</f>
        <v/>
      </c>
      <c r="C24" s="10">
        <f>COUNTIFS(Features!$G$5:$G$120,A24,Features!$Q$5:$Q$120,"Done")</f>
        <v/>
      </c>
      <c r="D24" s="11">
        <f>IFERROR(AVERAGEIF(Features!$G$5:$G$120,A24,Features!$R$5:$R$120),0)</f>
        <v/>
      </c>
    </row>
    <row r="26">
      <c r="A26" s="7" t="inlineStr">
        <is>
          <t>Progress by area</t>
        </is>
      </c>
    </row>
    <row r="27">
      <c r="A27" s="8" t="inlineStr">
        <is>
          <t>Area</t>
        </is>
      </c>
      <c r="B27" s="8" t="inlineStr">
        <is>
          <t>Features</t>
        </is>
      </c>
      <c r="C27" s="8" t="inlineStr">
        <is>
          <t>Done</t>
        </is>
      </c>
      <c r="D27" s="8" t="inlineStr">
        <is>
          <t>% done</t>
        </is>
      </c>
    </row>
    <row r="28">
      <c r="A28" s="9" t="inlineStr">
        <is>
          <t>Accounts and setup</t>
        </is>
      </c>
      <c r="B28" s="10">
        <f>COUNTIF(Features!$B$5:$B$120,A28)</f>
        <v/>
      </c>
      <c r="C28" s="10">
        <f>COUNTIFS(Features!$B$5:$B$120,A28,Features!$Q$5:$Q$120,"Done")</f>
        <v/>
      </c>
      <c r="D28" s="11">
        <f>IFERROR(AVERAGEIF(Features!$B$5:$B$120,A28,Features!$R$5:$R$120),0)</f>
        <v/>
      </c>
    </row>
    <row r="29">
      <c r="A29" s="9" t="inlineStr">
        <is>
          <t>Finding jobs</t>
        </is>
      </c>
      <c r="B29" s="10">
        <f>COUNTIF(Features!$B$5:$B$120,A29)</f>
        <v/>
      </c>
      <c r="C29" s="10">
        <f>COUNTIFS(Features!$B$5:$B$120,A29,Features!$Q$5:$Q$120,"Done")</f>
        <v/>
      </c>
      <c r="D29" s="11">
        <f>IFERROR(AVERAGEIF(Features!$B$5:$B$120,A29,Features!$R$5:$R$120),0)</f>
        <v/>
      </c>
    </row>
    <row r="30">
      <c r="A30" s="9" t="inlineStr">
        <is>
          <t>Resumes and learning</t>
        </is>
      </c>
      <c r="B30" s="10">
        <f>COUNTIF(Features!$B$5:$B$120,A30)</f>
        <v/>
      </c>
      <c r="C30" s="10">
        <f>COUNTIFS(Features!$B$5:$B$120,A30,Features!$Q$5:$Q$120,"Done")</f>
        <v/>
      </c>
      <c r="D30" s="11">
        <f>IFERROR(AVERAGEIF(Features!$B$5:$B$120,A30,Features!$R$5:$R$120),0)</f>
        <v/>
      </c>
    </row>
    <row r="31">
      <c r="A31" s="9" t="inlineStr">
        <is>
          <t>Writing in your own voice</t>
        </is>
      </c>
      <c r="B31" s="10">
        <f>COUNTIF(Features!$B$5:$B$120,A31)</f>
        <v/>
      </c>
      <c r="C31" s="10">
        <f>COUNTIFS(Features!$B$5:$B$120,A31,Features!$Q$5:$Q$120,"Done")</f>
        <v/>
      </c>
      <c r="D31" s="11">
        <f>IFERROR(AVERAGEIF(Features!$B$5:$B$120,A31,Features!$R$5:$R$120),0)</f>
        <v/>
      </c>
    </row>
    <row r="32">
      <c r="A32" s="9" t="inlineStr">
        <is>
          <t>Interview practice</t>
        </is>
      </c>
      <c r="B32" s="10">
        <f>COUNTIF(Features!$B$5:$B$120,A32)</f>
        <v/>
      </c>
      <c r="C32" s="10">
        <f>COUNTIFS(Features!$B$5:$B$120,A32,Features!$Q$5:$Q$120,"Done")</f>
        <v/>
      </c>
      <c r="D32" s="11">
        <f>IFERROR(AVERAGEIF(Features!$B$5:$B$120,A32,Features!$R$5:$R$120),0)</f>
        <v/>
      </c>
    </row>
    <row r="33">
      <c r="A33" s="9" t="inlineStr">
        <is>
          <t>LinkedIn and outreach</t>
        </is>
      </c>
      <c r="B33" s="10">
        <f>COUNTIF(Features!$B$5:$B$120,A33)</f>
        <v/>
      </c>
      <c r="C33" s="10">
        <f>COUNTIFS(Features!$B$5:$B$120,A33,Features!$Q$5:$Q$120,"Done")</f>
        <v/>
      </c>
      <c r="D33" s="11">
        <f>IFERROR(AVERAGEIF(Features!$B$5:$B$120,A33,Features!$R$5:$R$120),0)</f>
        <v/>
      </c>
    </row>
    <row r="34">
      <c r="A34" s="9" t="inlineStr">
        <is>
          <t>Progress tracking</t>
        </is>
      </c>
      <c r="B34" s="10">
        <f>COUNTIF(Features!$B$5:$B$120,A34)</f>
        <v/>
      </c>
      <c r="C34" s="10">
        <f>COUNTIFS(Features!$B$5:$B$120,A34,Features!$Q$5:$Q$120,"Done")</f>
        <v/>
      </c>
      <c r="D34" s="11">
        <f>IFERROR(AVERAGEIF(Features!$B$5:$B$120,A34,Features!$R$5:$R$120),0)</f>
        <v/>
      </c>
    </row>
    <row r="35">
      <c r="A35" s="9" t="inlineStr">
        <is>
          <t>For organisations</t>
        </is>
      </c>
      <c r="B35" s="10">
        <f>COUNTIF(Features!$B$5:$B$120,A35)</f>
        <v/>
      </c>
      <c r="C35" s="10">
        <f>COUNTIFS(Features!$B$5:$B$120,A35,Features!$Q$5:$Q$120,"Done")</f>
        <v/>
      </c>
      <c r="D35" s="11">
        <f>IFERROR(AVERAGEIF(Features!$B$5:$B$120,A35,Features!$R$5:$R$120),0)</f>
        <v/>
      </c>
    </row>
    <row r="36">
      <c r="A36" s="9" t="inlineStr">
        <is>
          <t>Launch checks</t>
        </is>
      </c>
      <c r="B36" s="10">
        <f>COUNTIF(Features!$B$5:$B$120,A36)</f>
        <v/>
      </c>
      <c r="C36" s="10">
        <f>COUNTIFS(Features!$B$5:$B$120,A36,Features!$Q$5:$Q$120,"Done")</f>
        <v/>
      </c>
      <c r="D36" s="11">
        <f>IFERROR(AVERAGEIF(Features!$B$5:$B$120,A36,Features!$R$5:$R$120),0)</f>
        <v/>
      </c>
    </row>
    <row r="38">
      <c r="A38" s="7" t="inlineStr">
        <is>
          <t>Work per developer (screen and backend jobs counted separately)</t>
        </is>
      </c>
    </row>
    <row r="39">
      <c r="A39" s="8" t="inlineStr">
        <is>
          <t>Developer</t>
        </is>
      </c>
      <c r="B39" s="8" t="inlineStr">
        <is>
          <t>Jobs</t>
        </is>
      </c>
      <c r="C39" s="8" t="inlineStr">
        <is>
          <t>Done</t>
        </is>
      </c>
      <c r="D39" s="8" t="inlineStr">
        <is>
          <t>Under way</t>
        </is>
      </c>
      <c r="E39" s="8" t="inlineStr">
        <is>
          <t>Stuck</t>
        </is>
      </c>
      <c r="F39" s="8" t="inlineStr">
        <is>
          <t>% done</t>
        </is>
      </c>
    </row>
    <row r="40">
      <c r="A40" s="9" t="inlineStr">
        <is>
          <t>Developer A</t>
        </is>
      </c>
      <c r="B40" s="10">
        <f>COUNTIF(Features!$J$5:$J$120,A40)+COUNTIF(Features!$K$5:$K$120,A40)</f>
        <v/>
      </c>
      <c r="C40" s="10">
        <f>COUNTIFS(Features!$J$5:$J$120,A40,Features!$O$5:$O$120,"Done")+COUNTIFS(Features!$K$5:$K$120,A40,Features!$P$5:$P$120,"Done")</f>
        <v/>
      </c>
      <c r="D40" s="10">
        <f>COUNTIFS(Features!$J$5:$J$120,A40,Features!$O$5:$O$120,"In progress")+COUNTIFS(Features!$K$5:$K$120,A40,Features!$P$5:$P$120,"In progress")+COUNTIFS(Features!$J$5:$J$120,A40,Features!$O$5:$O$120,"Being checked")+COUNTIFS(Features!$K$5:$K$120,A40,Features!$P$5:$P$120,"Being checked")</f>
        <v/>
      </c>
      <c r="E40" s="10">
        <f>COUNTIFS(Features!$J$5:$J$120,A40,Features!$O$5:$O$120,"Stuck")+COUNTIFS(Features!$K$5:$K$120,A40,Features!$P$5:$P$120,"Stuck")</f>
        <v/>
      </c>
      <c r="F40" s="11">
        <f>IFERROR(C40/B40,0)</f>
        <v/>
      </c>
    </row>
    <row r="41">
      <c r="A41" s="9" t="inlineStr">
        <is>
          <t>Developer B</t>
        </is>
      </c>
      <c r="B41" s="10">
        <f>COUNTIF(Features!$J$5:$J$120,A41)+COUNTIF(Features!$K$5:$K$120,A41)</f>
        <v/>
      </c>
      <c r="C41" s="10">
        <f>COUNTIFS(Features!$J$5:$J$120,A41,Features!$O$5:$O$120,"Done")+COUNTIFS(Features!$K$5:$K$120,A41,Features!$P$5:$P$120,"Done")</f>
        <v/>
      </c>
      <c r="D41" s="10">
        <f>COUNTIFS(Features!$J$5:$J$120,A41,Features!$O$5:$O$120,"In progress")+COUNTIFS(Features!$K$5:$K$120,A41,Features!$P$5:$P$120,"In progress")+COUNTIFS(Features!$J$5:$J$120,A41,Features!$O$5:$O$120,"Being checked")+COUNTIFS(Features!$K$5:$K$120,A41,Features!$P$5:$P$120,"Being checked")</f>
        <v/>
      </c>
      <c r="E41" s="10">
        <f>COUNTIFS(Features!$J$5:$J$120,A41,Features!$O$5:$O$120,"Stuck")+COUNTIFS(Features!$K$5:$K$120,A41,Features!$P$5:$P$120,"Stuck")</f>
        <v/>
      </c>
      <c r="F41" s="11">
        <f>IFERROR(C41/B41,0)</f>
        <v/>
      </c>
    </row>
    <row r="43">
      <c r="A43" s="7" t="inlineStr">
        <is>
          <t>Screens vs backend</t>
        </is>
      </c>
    </row>
    <row r="44">
      <c r="A44" s="8" t="inlineStr">
        <is>
          <t>Side</t>
        </is>
      </c>
      <c r="B44" s="8" t="inlineStr">
        <is>
          <t>Jobs</t>
        </is>
      </c>
      <c r="C44" s="8" t="inlineStr">
        <is>
          <t>Done</t>
        </is>
      </c>
      <c r="D44" s="8" t="inlineStr">
        <is>
          <t>Stuck</t>
        </is>
      </c>
      <c r="E44" s="8" t="inlineStr">
        <is>
          <t>% done</t>
        </is>
      </c>
    </row>
    <row r="45">
      <c r="A45" s="9" t="inlineStr">
        <is>
          <t>Screen work (frontend)</t>
        </is>
      </c>
      <c r="B45" s="10">
        <f>COUNTIF(Features!$O$5:$O$120,"&lt;&gt;")-COUNTIF(Features!$O$5:$O$120,"Not needed")</f>
        <v/>
      </c>
      <c r="C45" s="10">
        <f>COUNTIF(Features!$O$5:$O$120,"Done")</f>
        <v/>
      </c>
      <c r="D45" s="10">
        <f>COUNTIF(Features!$O$5:$O$120,"Stuck")</f>
        <v/>
      </c>
      <c r="E45" s="11">
        <f>IFERROR(C45/B45,0)</f>
        <v/>
      </c>
    </row>
    <row r="46">
      <c r="A46" s="9" t="inlineStr">
        <is>
          <t>Backend work</t>
        </is>
      </c>
      <c r="B46" s="10">
        <f>COUNTIF(Features!$P$5:$P$120,"&lt;&gt;")-COUNTIF(Features!$P$5:$P$120,"Not needed")</f>
        <v/>
      </c>
      <c r="C46" s="10">
        <f>COUNTIF(Features!$P$5:$P$120,"Done")</f>
        <v/>
      </c>
      <c r="D46" s="10">
        <f>COUNTIF(Features!$P$5:$P$120,"Stuck")</f>
        <v/>
      </c>
      <c r="E46" s="11">
        <f>IFERROR(C46/B46,0)</f>
        <v/>
      </c>
    </row>
    <row r="48">
      <c r="A48" s="7" t="inlineStr">
        <is>
          <t>Checkpoints</t>
        </is>
      </c>
    </row>
    <row r="49">
      <c r="A49" s="8" t="inlineStr">
        <is>
          <t>Checkpoint</t>
        </is>
      </c>
      <c r="B49" s="8" t="inlineStr">
        <is>
          <t>Tests</t>
        </is>
      </c>
      <c r="C49" s="8" t="inlineStr">
        <is>
          <t>Passed</t>
        </is>
      </c>
      <c r="D49" s="8" t="inlineStr">
        <is>
          <t>State</t>
        </is>
      </c>
    </row>
    <row r="50">
      <c r="A50" s="9" t="inlineStr">
        <is>
          <t>Checkpoint 1</t>
        </is>
      </c>
      <c r="B50" s="10">
        <f>COUNTIF(Checkpoints!$A$5:$A$15,A50)</f>
        <v/>
      </c>
      <c r="C50" s="10">
        <f>COUNTIFS(Checkpoints!$A$5:$A$15,A50,Checkpoints!$H$5:$H$15,"Passed")</f>
        <v/>
      </c>
      <c r="D50" s="10">
        <f>IF(C50=B50,"Passed",IF(COUNTIFS(Checkpoints!$A$5:$A$15,A50,Checkpoints!$H$5:$H$15,"Not yet")&gt;0,"At risk","Not measured yet"))</f>
        <v/>
      </c>
    </row>
    <row r="51">
      <c r="A51" s="9" t="inlineStr">
        <is>
          <t>Checkpoint 2</t>
        </is>
      </c>
      <c r="B51" s="10">
        <f>COUNTIF(Checkpoints!$A$5:$A$15,A51)</f>
        <v/>
      </c>
      <c r="C51" s="10">
        <f>COUNTIFS(Checkpoints!$A$5:$A$15,A51,Checkpoints!$H$5:$H$15,"Passed")</f>
        <v/>
      </c>
      <c r="D51" s="10">
        <f>IF(C51=B51,"Passed",IF(COUNTIFS(Checkpoints!$A$5:$A$15,A51,Checkpoints!$H$5:$H$15,"Not yet")&gt;0,"At risk","Not measured yet"))</f>
        <v/>
      </c>
    </row>
    <row r="52">
      <c r="A52" s="9" t="inlineStr">
        <is>
          <t>Checkpoint 3</t>
        </is>
      </c>
      <c r="B52" s="10">
        <f>COUNTIF(Checkpoints!$A$5:$A$15,A52)</f>
        <v/>
      </c>
      <c r="C52" s="10">
        <f>COUNTIFS(Checkpoints!$A$5:$A$15,A52,Checkpoints!$H$5:$H$15,"Passed")</f>
        <v/>
      </c>
      <c r="D52" s="10">
        <f>IF(C52=B52,"Passed",IF(COUNTIFS(Checkpoints!$A$5:$A$15,A52,Checkpoints!$H$5:$H$15,"Not yet")&gt;0,"At risk","Not measured yet"))</f>
        <v/>
      </c>
    </row>
    <row r="53">
      <c r="A53" s="9" t="inlineStr">
        <is>
          <t>Checkpoint 4</t>
        </is>
      </c>
      <c r="B53" s="10">
        <f>COUNTIF(Checkpoints!$A$5:$A$15,A53)</f>
        <v/>
      </c>
      <c r="C53" s="10">
        <f>COUNTIFS(Checkpoints!$A$5:$A$15,A53,Checkpoints!$H$5:$H$15,"Passed")</f>
        <v/>
      </c>
      <c r="D53" s="10">
        <f>IF(C53=B53,"Passed",IF(COUNTIFS(Checkpoints!$A$5:$A$15,A53,Checkpoints!$H$5:$H$15,"Not yet")&gt;0,"At risk","Not measured yet"))</f>
        <v/>
      </c>
    </row>
    <row r="54">
      <c r="A54" s="9" t="inlineStr">
        <is>
          <t>Launch</t>
        </is>
      </c>
      <c r="B54" s="10">
        <f>COUNTIF(Checkpoints!$A$5:$A$15,A54)</f>
        <v/>
      </c>
      <c r="C54" s="10">
        <f>COUNTIFS(Checkpoints!$A$5:$A$15,A54,Checkpoints!$H$5:$H$15,"Passed")</f>
        <v/>
      </c>
      <c r="D54" s="10">
        <f>IF(C54=B54,"Passed",IF(COUNTIFS(Checkpoints!$A$5:$A$15,A54,Checkpoints!$H$5:$H$15,"Not yet")&gt;0,"At risk","Not measured yet"))</f>
        <v/>
      </c>
    </row>
    <row r="57">
      <c r="A57" s="7" t="inlineStr">
        <is>
          <t>How to use this workbook</t>
        </is>
      </c>
    </row>
    <row r="58">
      <c r="A58" s="12" t="inlineStr">
        <is>
          <t>1. Features sheet: one row per feature. Change only the yellow columns: Screen status, Backend status and Notes.</t>
        </is>
      </c>
    </row>
    <row r="59">
      <c r="A59" s="12" t="inlineStr">
        <is>
          <t>2. Statuses: Not started, In progress, Being checked, Done, Stuck (waiting on something), Not needed.</t>
        </is>
      </c>
    </row>
    <row r="60">
      <c r="A60" s="12" t="inlineStr">
        <is>
          <t>3. Overall, % done, Due and this Summary update themselves. Please do not type over them.</t>
        </is>
      </c>
    </row>
    <row r="61">
      <c r="A61" s="12" t="inlineStr">
        <is>
          <t>4. Weekly Plan: set each week's Status every Friday after the client demo.</t>
        </is>
      </c>
    </row>
    <row r="62">
      <c r="A62" s="12" t="inlineStr">
        <is>
          <t>5. Checkpoints: type the measured result; 'Passed?' fills itself in.</t>
        </is>
      </c>
    </row>
    <row r="63">
      <c r="A63" s="12" t="inlineStr">
        <is>
          <t>6. Example: 'Sign up and log in' with Screen status Done and Backend status Being checked shows Overall = Being checked, 95% done.</t>
        </is>
      </c>
    </row>
  </sheetData>
  <conditionalFormatting sqref="B7">
    <cfRule type="cellIs" priority="1" operator="greaterThan" dxfId="0">
      <formula>0</formula>
    </cfRule>
  </conditionalFormatting>
  <conditionalFormatting sqref="A12:A16">
    <cfRule type="cellIs" priority="2" operator="equal" dxfId="1">
      <formula>"Done"</formula>
    </cfRule>
    <cfRule type="cellIs" priority="3" operator="equal" dxfId="2">
      <formula>"In progress"</formula>
    </cfRule>
    <cfRule type="cellIs" priority="4" operator="equal" dxfId="3">
      <formula>"Being checked"</formula>
    </cfRule>
    <cfRule type="cellIs" priority="5" operator="equal" dxfId="4">
      <formula>"Stuck"</formula>
    </cfRule>
    <cfRule type="cellIs" priority="6" operator="equal" dxfId="5">
      <formula>"Not started"</formula>
    </cfRule>
    <cfRule type="cellIs" priority="7" operator="equal" dxfId="6">
      <formula>"Not needed"</formula>
    </cfRule>
  </conditionalFormatting>
  <conditionalFormatting sqref="D20:D24">
    <cfRule type="dataBar" priority="8">
      <dataBar>
        <cfvo type="num" val="0"/>
        <cfvo type="num" val="1"/>
        <color rgb="005B4CF2"/>
      </dataBar>
    </cfRule>
  </conditionalFormatting>
  <conditionalFormatting sqref="D28:D36">
    <cfRule type="dataBar" priority="9">
      <dataBar>
        <cfvo type="num" val="0"/>
        <cfvo type="num" val="1"/>
        <color rgb="005B4CF2"/>
      </dataBar>
    </cfRule>
  </conditionalFormatting>
  <conditionalFormatting sqref="D50:D54">
    <cfRule type="cellIs" priority="10" operator="equal" dxfId="1">
      <formula>"Passed"</formula>
    </cfRule>
    <cfRule type="cellIs" priority="11" operator="equal" dxfId="4">
      <formula>"At risk"</formula>
    </cfRule>
    <cfRule type="cellIs" priority="12" operator="equal" dxfId="5">
      <formula>"Not measured yet"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4154A"/>
    <outlinePr summaryBelow="1" summaryRight="1"/>
    <pageSetUpPr fitToPage="1"/>
  </sheetPr>
  <dimension ref="A1:S1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44" customWidth="1" min="4" max="4"/>
    <col width="32" customWidth="1" min="5" max="5"/>
    <col width="34" customWidth="1" min="6" max="6"/>
    <col width="24" customWidth="1" min="7" max="7"/>
    <col width="7" customWidth="1" min="8" max="8"/>
    <col width="11" customWidth="1" min="9" max="9"/>
    <col width="12" customWidth="1" min="10" max="10"/>
    <col width="12" customWidth="1" min="11" max="11"/>
    <col width="9" customWidth="1" min="12" max="12"/>
    <col width="30" customWidth="1" min="13" max="13"/>
    <col width="24" customWidth="1" min="14" max="14"/>
    <col width="13" customWidth="1" min="15" max="15"/>
    <col width="13" customWidth="1" min="16" max="16"/>
    <col width="13" customWidth="1" min="17" max="17"/>
    <col width="9" customWidth="1" min="18" max="18"/>
    <col width="34" customWidth="1" min="19" max="19"/>
  </cols>
  <sheetData>
    <row r="1" ht="24" customHeight="1">
      <c r="A1" s="1" t="inlineStr">
        <is>
          <t>Feature list: every feature in the FORGE AI Product Vision</t>
        </is>
      </c>
    </row>
    <row r="2">
      <c r="A2" s="2" t="inlineStr">
        <is>
          <t>One row per feature. Read 'What it does' first. Update only the yellow columns; the grey status and % columns work themselves out.</t>
        </is>
      </c>
    </row>
    <row r="4" ht="34" customHeight="1">
      <c r="A4" s="8" t="inlineStr">
        <is>
          <t>No.</t>
        </is>
      </c>
      <c r="B4" s="8" t="inlineStr">
        <is>
          <t>Area</t>
        </is>
      </c>
      <c r="C4" s="8" t="inlineStr">
        <is>
          <t>Feature</t>
        </is>
      </c>
      <c r="D4" s="8" t="inlineStr">
        <is>
          <t>What it does (for the user)</t>
        </is>
      </c>
      <c r="E4" s="8" t="inlineStr">
        <is>
          <t>Screen work to do (frontend)</t>
        </is>
      </c>
      <c r="F4" s="8" t="inlineStr">
        <is>
          <t>Backend work to do</t>
        </is>
      </c>
      <c r="G4" s="8" t="inlineStr">
        <is>
          <t>Phase</t>
        </is>
      </c>
      <c r="H4" s="8" t="inlineStr">
        <is>
          <t>Week</t>
        </is>
      </c>
      <c r="I4" s="8" t="inlineStr">
        <is>
          <t>Due</t>
        </is>
      </c>
      <c r="J4" s="8" t="inlineStr">
        <is>
          <t>Screen built by</t>
        </is>
      </c>
      <c r="K4" s="8" t="inlineStr">
        <is>
          <t>Backend built by</t>
        </is>
      </c>
      <c r="L4" s="8" t="inlineStr">
        <is>
          <t>Must have?</t>
        </is>
      </c>
      <c r="M4" s="8" t="inlineStr">
        <is>
          <t>What we have today</t>
        </is>
      </c>
      <c r="N4" s="8" t="inlineStr">
        <is>
          <t>Waiting on</t>
        </is>
      </c>
      <c r="O4" s="8" t="inlineStr">
        <is>
          <t>Screen status</t>
        </is>
      </c>
      <c r="P4" s="8" t="inlineStr">
        <is>
          <t>Backend status</t>
        </is>
      </c>
      <c r="Q4" s="8" t="inlineStr">
        <is>
          <t>Overall</t>
        </is>
      </c>
      <c r="R4" s="8" t="inlineStr">
        <is>
          <t>% done</t>
        </is>
      </c>
      <c r="S4" s="8" t="inlineStr">
        <is>
          <t>Notes / next step</t>
        </is>
      </c>
    </row>
    <row r="5">
      <c r="A5" s="13" t="n">
        <v>1</v>
      </c>
      <c r="B5" s="14" t="inlineStr">
        <is>
          <t>Accounts and setup</t>
        </is>
      </c>
      <c r="C5" s="15" t="inlineStr">
        <is>
          <t>Sign up and log in</t>
        </is>
      </c>
      <c r="D5" s="14" t="inlineStr">
        <is>
          <t>People create an account (job seeker, company, university, training institute or staffing firm) and log in safely.</t>
        </is>
      </c>
      <c r="E5" s="14" t="inlineStr">
        <is>
          <t>Sign-up and login pages, choose account type, clear error messages</t>
        </is>
      </c>
      <c r="F5" s="14" t="inlineStr">
        <is>
          <t>Store passwords securely, keep people logged in, password reset</t>
        </is>
      </c>
      <c r="G5" s="14" t="inlineStr">
        <is>
          <t>Phase 1: Accounts and job matching</t>
        </is>
      </c>
      <c r="H5" s="13" t="n">
        <v>1</v>
      </c>
      <c r="I5" s="16">
        <f>Settings!$B$5+(H5-1)*7+4</f>
        <v/>
      </c>
      <c r="J5" s="13" t="inlineStr">
        <is>
          <t>Developer B</t>
        </is>
      </c>
      <c r="K5" s="13" t="inlineStr">
        <is>
          <t>Developer B</t>
        </is>
      </c>
      <c r="L5" s="13" t="inlineStr">
        <is>
          <t>Yes</t>
        </is>
      </c>
      <c r="M5" s="14" t="inlineStr">
        <is>
          <t>Works, but saves to local files with weak password protection</t>
        </is>
      </c>
      <c r="N5" s="14" t="inlineStr">
        <is>
          <t>Where the app will be hosted</t>
        </is>
      </c>
      <c r="O5" s="17" t="inlineStr">
        <is>
          <t>Not started</t>
        </is>
      </c>
      <c r="P5" s="17" t="inlineStr">
        <is>
          <t>Not started</t>
        </is>
      </c>
      <c r="Q5" s="13">
        <f>IF(AND(O5="Not needed",P5="Not needed"),"Not needed",IF(OR(O5="Stuck",P5="Stuck"),"Stuck",IF(AND(OR(O5="Done",O5="Not needed"),OR(P5="Done",P5="Not needed")),"Done",IF(AND(OR(O5="Not started",O5="Not needed"),OR(P5="Not started",P5="Not needed")),"Not started",IF(AND(OR(O5="Being checked",O5="Done",O5="Not needed"),OR(P5="Being checked",P5="Done",P5="Not needed")),"Being checked","In progress")))))</f>
        <v/>
      </c>
      <c r="R5" s="18">
        <f>IFERROR((IF(OR(O5="Not needed",O5="Stuck"),0,INDEX(Settings!$E$5:$E$8,MATCH(O5,Settings!$D$5:$D$8,0)))+IF(OR(P5="Not needed",P5="Stuck"),0,INDEX(Settings!$E$5:$E$8,MATCH(P5,Settings!$D$5:$D$8,0))))/((O5&lt;&gt;"Not needed")+(P5&lt;&gt;"Not needed")),0)</f>
        <v/>
      </c>
      <c r="S5" s="19" t="n"/>
    </row>
    <row r="6">
      <c r="A6" s="20" t="n">
        <v>2</v>
      </c>
      <c r="B6" s="21" t="inlineStr">
        <is>
          <t>Accounts and setup</t>
        </is>
      </c>
      <c r="C6" s="22" t="inlineStr">
        <is>
          <t>Save everything in a proper database</t>
        </is>
      </c>
      <c r="D6" s="21" t="inlineStr">
        <is>
          <t>Everything a user does is saved reliably and is there next time they log in.</t>
        </is>
      </c>
      <c r="E6" s="21" t="inlineStr">
        <is>
          <t>Pages read and save through the new database</t>
        </is>
      </c>
      <c r="F6" s="21" t="inlineStr">
        <is>
          <t>Set up the database, move existing accounts across</t>
        </is>
      </c>
      <c r="G6" s="21" t="inlineStr">
        <is>
          <t>Phase 1: Accounts and job matching</t>
        </is>
      </c>
      <c r="H6" s="20" t="n">
        <v>1</v>
      </c>
      <c r="I6" s="23">
        <f>Settings!$B$5+(H6-1)*7+4</f>
        <v/>
      </c>
      <c r="J6" s="20" t="inlineStr">
        <is>
          <t>Developer B</t>
        </is>
      </c>
      <c r="K6" s="20" t="inlineStr">
        <is>
          <t>Developer B</t>
        </is>
      </c>
      <c r="L6" s="20" t="inlineStr">
        <is>
          <t>Yes</t>
        </is>
      </c>
      <c r="M6" s="21" t="inlineStr">
        <is>
          <t>Data saved in local files</t>
        </is>
      </c>
      <c r="N6" s="21" t="inlineStr">
        <is>
          <t>Which database to use</t>
        </is>
      </c>
      <c r="O6" s="17" t="inlineStr">
        <is>
          <t>Not started</t>
        </is>
      </c>
      <c r="P6" s="17" t="inlineStr">
        <is>
          <t>Not started</t>
        </is>
      </c>
      <c r="Q6" s="20">
        <f>IF(AND(O6="Not needed",P6="Not needed"),"Not needed",IF(OR(O6="Stuck",P6="Stuck"),"Stuck",IF(AND(OR(O6="Done",O6="Not needed"),OR(P6="Done",P6="Not needed")),"Done",IF(AND(OR(O6="Not started",O6="Not needed"),OR(P6="Not started",P6="Not needed")),"Not started",IF(AND(OR(O6="Being checked",O6="Done",O6="Not needed"),OR(P6="Being checked",P6="Done",P6="Not needed")),"Being checked","In progress")))))</f>
        <v/>
      </c>
      <c r="R6" s="24">
        <f>IFERROR((IF(OR(O6="Not needed",O6="Stuck"),0,INDEX(Settings!$E$5:$E$8,MATCH(O6,Settings!$D$5:$D$8,0)))+IF(OR(P6="Not needed",P6="Stuck"),0,INDEX(Settings!$E$5:$E$8,MATCH(P6,Settings!$D$5:$D$8,0))))/((O6&lt;&gt;"Not needed")+(P6&lt;&gt;"Not needed")),0)</f>
        <v/>
      </c>
      <c r="S6" s="19" t="n"/>
    </row>
    <row r="7">
      <c r="A7" s="13" t="n">
        <v>3</v>
      </c>
      <c r="B7" s="14" t="inlineStr">
        <is>
          <t>Accounts and setup</t>
        </is>
      </c>
      <c r="C7" s="15" t="inlineStr">
        <is>
          <t>Ask permission before using personal data</t>
        </is>
      </c>
      <c r="D7" s="14" t="inlineStr">
        <is>
          <t>Users agree to how their data is used before anything is collected.</t>
        </is>
      </c>
      <c r="E7" s="14" t="inlineStr">
        <is>
          <t>Permission screen at sign-up, privacy settings page</t>
        </is>
      </c>
      <c r="F7" s="14" t="inlineStr">
        <is>
          <t>Record each user's permissions</t>
        </is>
      </c>
      <c r="G7" s="14" t="inlineStr">
        <is>
          <t>Phase 1: Accounts and job matching</t>
        </is>
      </c>
      <c r="H7" s="13" t="n">
        <v>1</v>
      </c>
      <c r="I7" s="16">
        <f>Settings!$B$5+(H7-1)*7+4</f>
        <v/>
      </c>
      <c r="J7" s="13" t="inlineStr">
        <is>
          <t>Developer B</t>
        </is>
      </c>
      <c r="K7" s="13" t="inlineStr">
        <is>
          <t>Developer B</t>
        </is>
      </c>
      <c r="L7" s="13" t="inlineStr">
        <is>
          <t>Yes</t>
        </is>
      </c>
      <c r="M7" s="14" t="inlineStr">
        <is>
          <t>Nothing built yet</t>
        </is>
      </c>
      <c r="N7" s="14" t="inlineStr">
        <is>
          <t>Permission wording from client</t>
        </is>
      </c>
      <c r="O7" s="17" t="inlineStr">
        <is>
          <t>Not started</t>
        </is>
      </c>
      <c r="P7" s="17" t="inlineStr">
        <is>
          <t>Not started</t>
        </is>
      </c>
      <c r="Q7" s="13">
        <f>IF(AND(O7="Not needed",P7="Not needed"),"Not needed",IF(OR(O7="Stuck",P7="Stuck"),"Stuck",IF(AND(OR(O7="Done",O7="Not needed"),OR(P7="Done",P7="Not needed")),"Done",IF(AND(OR(O7="Not started",O7="Not needed"),OR(P7="Not started",P7="Not needed")),"Not started",IF(AND(OR(O7="Being checked",O7="Done",O7="Not needed"),OR(P7="Being checked",P7="Done",P7="Not needed")),"Being checked","In progress")))))</f>
        <v/>
      </c>
      <c r="R7" s="18">
        <f>IFERROR((IF(OR(O7="Not needed",O7="Stuck"),0,INDEX(Settings!$E$5:$E$8,MATCH(O7,Settings!$D$5:$D$8,0)))+IF(OR(P7="Not needed",P7="Stuck"),0,INDEX(Settings!$E$5:$E$8,MATCH(P7,Settings!$D$5:$D$8,0))))/((O7&lt;&gt;"Not needed")+(P7&lt;&gt;"Not needed")),0)</f>
        <v/>
      </c>
      <c r="S7" s="19" t="n"/>
    </row>
    <row r="8">
      <c r="A8" s="20" t="n">
        <v>4</v>
      </c>
      <c r="B8" s="21" t="inlineStr">
        <is>
          <t>Accounts and setup</t>
        </is>
      </c>
      <c r="C8" s="22" t="inlineStr">
        <is>
          <t>Put the app online with backups</t>
        </is>
      </c>
      <c r="D8" s="21" t="inlineStr">
        <is>
          <t>The app is reachable on a real web address and data is backed up every day.</t>
        </is>
      </c>
      <c r="E8" s="21" t="inlineStr">
        <is>
          <t>—</t>
        </is>
      </c>
      <c r="F8" s="21" t="inlineStr">
        <is>
          <t>Deploy to a server, daily backups, alerts if the site goes down</t>
        </is>
      </c>
      <c r="G8" s="21" t="inlineStr">
        <is>
          <t>Phase 1: Accounts and job matching</t>
        </is>
      </c>
      <c r="H8" s="20" t="n">
        <v>1</v>
      </c>
      <c r="I8" s="23">
        <f>Settings!$B$5+(H8-1)*7+4</f>
        <v/>
      </c>
      <c r="J8" s="20" t="inlineStr">
        <is>
          <t>—</t>
        </is>
      </c>
      <c r="K8" s="20" t="inlineStr">
        <is>
          <t>Developer B</t>
        </is>
      </c>
      <c r="L8" s="20" t="inlineStr">
        <is>
          <t>Yes</t>
        </is>
      </c>
      <c r="M8" s="21" t="inlineStr">
        <is>
          <t>Runs only on a developer's computer</t>
        </is>
      </c>
      <c r="N8" s="21" t="inlineStr">
        <is>
          <t>Hosting account</t>
        </is>
      </c>
      <c r="O8" s="17" t="inlineStr">
        <is>
          <t>Not needed</t>
        </is>
      </c>
      <c r="P8" s="17" t="inlineStr">
        <is>
          <t>Not started</t>
        </is>
      </c>
      <c r="Q8" s="20">
        <f>IF(AND(O8="Not needed",P8="Not needed"),"Not needed",IF(OR(O8="Stuck",P8="Stuck"),"Stuck",IF(AND(OR(O8="Done",O8="Not needed"),OR(P8="Done",P8="Not needed")),"Done",IF(AND(OR(O8="Not started",O8="Not needed"),OR(P8="Not started",P8="Not needed")),"Not started",IF(AND(OR(O8="Being checked",O8="Done",O8="Not needed"),OR(P8="Being checked",P8="Done",P8="Not needed")),"Being checked","In progress")))))</f>
        <v/>
      </c>
      <c r="R8" s="24">
        <f>IFERROR((IF(OR(O8="Not needed",O8="Stuck"),0,INDEX(Settings!$E$5:$E$8,MATCH(O8,Settings!$D$5:$D$8,0)))+IF(OR(P8="Not needed",P8="Stuck"),0,INDEX(Settings!$E$5:$E$8,MATCH(P8,Settings!$D$5:$D$8,0))))/((O8&lt;&gt;"Not needed")+(P8&lt;&gt;"Not needed")),0)</f>
        <v/>
      </c>
      <c r="S8" s="19" t="n"/>
    </row>
    <row r="9">
      <c r="A9" s="13" t="n">
        <v>5</v>
      </c>
      <c r="B9" s="14" t="inlineStr">
        <is>
          <t>Accounts and setup</t>
        </is>
      </c>
      <c r="C9" s="15" t="inlineStr">
        <is>
          <t>Fill in your profile</t>
        </is>
      </c>
      <c r="D9" s="14" t="inlineStr">
        <is>
          <t>Users enter their role, target role, skills, experience, certifications and LinkedIn link.</t>
        </is>
      </c>
      <c r="E9" s="14" t="inlineStr">
        <is>
          <t>Profile form</t>
        </is>
      </c>
      <c r="F9" s="14" t="inlineStr">
        <is>
          <t>Save and load the profile</t>
        </is>
      </c>
      <c r="G9" s="14" t="inlineStr">
        <is>
          <t>Phase 1: Accounts and job matching</t>
        </is>
      </c>
      <c r="H9" s="13" t="n">
        <v>2</v>
      </c>
      <c r="I9" s="16">
        <f>Settings!$B$5+(H9-1)*7+4</f>
        <v/>
      </c>
      <c r="J9" s="13" t="inlineStr">
        <is>
          <t>Developer B</t>
        </is>
      </c>
      <c r="K9" s="13" t="inlineStr">
        <is>
          <t>Developer B</t>
        </is>
      </c>
      <c r="L9" s="13" t="inlineStr">
        <is>
          <t>Yes</t>
        </is>
      </c>
      <c r="M9" s="14" t="inlineStr">
        <is>
          <t>Form exists, saved to local files</t>
        </is>
      </c>
      <c r="N9" s="14" t="inlineStr">
        <is>
          <t>—</t>
        </is>
      </c>
      <c r="O9" s="17" t="inlineStr">
        <is>
          <t>Not started</t>
        </is>
      </c>
      <c r="P9" s="17" t="inlineStr">
        <is>
          <t>Not started</t>
        </is>
      </c>
      <c r="Q9" s="13">
        <f>IF(AND(O9="Not needed",P9="Not needed"),"Not needed",IF(OR(O9="Stuck",P9="Stuck"),"Stuck",IF(AND(OR(O9="Done",O9="Not needed"),OR(P9="Done",P9="Not needed")),"Done",IF(AND(OR(O9="Not started",O9="Not needed"),OR(P9="Not started",P9="Not needed")),"Not started",IF(AND(OR(O9="Being checked",O9="Done",O9="Not needed"),OR(P9="Being checked",P9="Done",P9="Not needed")),"Being checked","In progress")))))</f>
        <v/>
      </c>
      <c r="R9" s="18">
        <f>IFERROR((IF(OR(O9="Not needed",O9="Stuck"),0,INDEX(Settings!$E$5:$E$8,MATCH(O9,Settings!$D$5:$D$8,0)))+IF(OR(P9="Not needed",P9="Stuck"),0,INDEX(Settings!$E$5:$E$8,MATCH(P9,Settings!$D$5:$D$8,0))))/((O9&lt;&gt;"Not needed")+(P9&lt;&gt;"Not needed")),0)</f>
        <v/>
      </c>
      <c r="S9" s="19" t="n"/>
    </row>
    <row r="10">
      <c r="A10" s="20" t="n">
        <v>6</v>
      </c>
      <c r="B10" s="21" t="inlineStr">
        <is>
          <t>Accounts and setup</t>
        </is>
      </c>
      <c r="C10" s="22" t="inlineStr">
        <is>
          <t>Upload your resume and photo</t>
        </is>
      </c>
      <c r="D10" s="21" t="inlineStr">
        <is>
          <t>Uploading a resume fills in the profile automatically.</t>
        </is>
      </c>
      <c r="E10" s="21" t="inlineStr">
        <is>
          <t>Upload button, page to check the filled-in details</t>
        </is>
      </c>
      <c r="F10" s="21" t="inlineStr">
        <is>
          <t>Read the resume file and pull out skills, years and job titles</t>
        </is>
      </c>
      <c r="G10" s="21" t="inlineStr">
        <is>
          <t>Phase 1: Accounts and job matching</t>
        </is>
      </c>
      <c r="H10" s="20" t="n">
        <v>2</v>
      </c>
      <c r="I10" s="23">
        <f>Settings!$B$5+(H10-1)*7+4</f>
        <v/>
      </c>
      <c r="J10" s="20" t="inlineStr">
        <is>
          <t>Developer B</t>
        </is>
      </c>
      <c r="K10" s="20" t="inlineStr">
        <is>
          <t>Developer A</t>
        </is>
      </c>
      <c r="L10" s="20" t="inlineStr">
        <is>
          <t>Yes</t>
        </is>
      </c>
      <c r="M10" s="21" t="inlineStr">
        <is>
          <t>Resume reader exists in the recruiter tool</t>
        </is>
      </c>
      <c r="N10" s="21" t="inlineStr">
        <is>
          <t>Sample resumes to test with</t>
        </is>
      </c>
      <c r="O10" s="17" t="inlineStr">
        <is>
          <t>Not started</t>
        </is>
      </c>
      <c r="P10" s="17" t="inlineStr">
        <is>
          <t>Not started</t>
        </is>
      </c>
      <c r="Q10" s="20">
        <f>IF(AND(O10="Not needed",P10="Not needed"),"Not needed",IF(OR(O10="Stuck",P10="Stuck"),"Stuck",IF(AND(OR(O10="Done",O10="Not needed"),OR(P10="Done",P10="Not needed")),"Done",IF(AND(OR(O10="Not started",O10="Not needed"),OR(P10="Not started",P10="Not needed")),"Not started",IF(AND(OR(O10="Being checked",O10="Done",O10="Not needed"),OR(P10="Being checked",P10="Done",P10="Not needed")),"Being checked","In progress")))))</f>
        <v/>
      </c>
      <c r="R10" s="24">
        <f>IFERROR((IF(OR(O10="Not needed",O10="Stuck"),0,INDEX(Settings!$E$5:$E$8,MATCH(O10,Settings!$D$5:$D$8,0)))+IF(OR(P10="Not needed",P10="Stuck"),0,INDEX(Settings!$E$5:$E$8,MATCH(P10,Settings!$D$5:$D$8,0))))/((O10&lt;&gt;"Not needed")+(P10&lt;&gt;"Not needed")),0)</f>
        <v/>
      </c>
      <c r="S10" s="19" t="n"/>
    </row>
    <row r="11">
      <c r="A11" s="13" t="n">
        <v>7</v>
      </c>
      <c r="B11" s="14" t="inlineStr">
        <is>
          <t>Accounts and setup</t>
        </is>
      </c>
      <c r="C11" s="15" t="inlineStr">
        <is>
          <t>Welcome and first steps</t>
        </is>
      </c>
      <c r="D11" s="14" t="inlineStr">
        <is>
          <t>New users are guided through their first steps.</t>
        </is>
      </c>
      <c r="E11" s="14" t="inlineStr">
        <is>
          <t>Welcome page and checklist</t>
        </is>
      </c>
      <c r="F11" s="14" t="inlineStr">
        <is>
          <t>Remember which steps each user has done</t>
        </is>
      </c>
      <c r="G11" s="14" t="inlineStr">
        <is>
          <t>Phase 1: Accounts and job matching</t>
        </is>
      </c>
      <c r="H11" s="13" t="n">
        <v>3</v>
      </c>
      <c r="I11" s="16">
        <f>Settings!$B$5+(H11-1)*7+4</f>
        <v/>
      </c>
      <c r="J11" s="13" t="inlineStr">
        <is>
          <t>Developer B</t>
        </is>
      </c>
      <c r="K11" s="13" t="inlineStr">
        <is>
          <t>Developer B</t>
        </is>
      </c>
      <c r="L11" s="13" t="inlineStr">
        <is>
          <t>No</t>
        </is>
      </c>
      <c r="M11" s="14" t="inlineStr">
        <is>
          <t>Page exists but shows made-up sample data</t>
        </is>
      </c>
      <c r="N11" s="14" t="inlineStr">
        <is>
          <t>—</t>
        </is>
      </c>
      <c r="O11" s="17" t="inlineStr">
        <is>
          <t>Not started</t>
        </is>
      </c>
      <c r="P11" s="17" t="inlineStr">
        <is>
          <t>Not started</t>
        </is>
      </c>
      <c r="Q11" s="13">
        <f>IF(AND(O11="Not needed",P11="Not needed"),"Not needed",IF(OR(O11="Stuck",P11="Stuck"),"Stuck",IF(AND(OR(O11="Done",O11="Not needed"),OR(P11="Done",P11="Not needed")),"Done",IF(AND(OR(O11="Not started",O11="Not needed"),OR(P11="Not started",P11="Not needed")),"Not started",IF(AND(OR(O11="Being checked",O11="Done",O11="Not needed"),OR(P11="Being checked",P11="Done",P11="Not needed")),"Being checked","In progress")))))</f>
        <v/>
      </c>
      <c r="R11" s="18">
        <f>IFERROR((IF(OR(O11="Not needed",O11="Stuck"),0,INDEX(Settings!$E$5:$E$8,MATCH(O11,Settings!$D$5:$D$8,0)))+IF(OR(P11="Not needed",P11="Stuck"),0,INDEX(Settings!$E$5:$E$8,MATCH(P11,Settings!$D$5:$D$8,0))))/((O11&lt;&gt;"Not needed")+(P11&lt;&gt;"Not needed")),0)</f>
        <v/>
      </c>
      <c r="S11" s="19" t="n"/>
    </row>
    <row r="12">
      <c r="A12" s="20" t="n">
        <v>8</v>
      </c>
      <c r="B12" s="21" t="inlineStr">
        <is>
          <t>Accounts and setup</t>
        </is>
      </c>
      <c r="C12" s="22" t="inlineStr">
        <is>
          <t>Home dashboard</t>
        </is>
      </c>
      <c r="D12" s="21" t="inlineStr">
        <is>
          <t>Users see their jobs, applications, interviews, profile views and streak at a glance.</t>
        </is>
      </c>
      <c r="E12" s="21" t="inlineStr">
        <is>
          <t>Connect the new dashboard design to real numbers</t>
        </is>
      </c>
      <c r="F12" s="21" t="inlineStr">
        <is>
          <t>Supply the dashboard numbers</t>
        </is>
      </c>
      <c r="G12" s="21" t="inlineStr">
        <is>
          <t>Phase 1: Accounts and job matching</t>
        </is>
      </c>
      <c r="H12" s="20" t="n">
        <v>3</v>
      </c>
      <c r="I12" s="23">
        <f>Settings!$B$5+(H12-1)*7+4</f>
        <v/>
      </c>
      <c r="J12" s="20" t="inlineStr">
        <is>
          <t>Developer B</t>
        </is>
      </c>
      <c r="K12" s="20" t="inlineStr">
        <is>
          <t>Developer A</t>
        </is>
      </c>
      <c r="L12" s="20" t="inlineStr">
        <is>
          <t>Yes</t>
        </is>
      </c>
      <c r="M12" s="21" t="inlineStr">
        <is>
          <t>New design done, numbers are made up</t>
        </is>
      </c>
      <c r="N12" s="21" t="inlineStr">
        <is>
          <t>—</t>
        </is>
      </c>
      <c r="O12" s="17" t="inlineStr">
        <is>
          <t>In progress</t>
        </is>
      </c>
      <c r="P12" s="17" t="inlineStr">
        <is>
          <t>Not started</t>
        </is>
      </c>
      <c r="Q12" s="20">
        <f>IF(AND(O12="Not needed",P12="Not needed"),"Not needed",IF(OR(O12="Stuck",P12="Stuck"),"Stuck",IF(AND(OR(O12="Done",O12="Not needed"),OR(P12="Done",P12="Not needed")),"Done",IF(AND(OR(O12="Not started",O12="Not needed"),OR(P12="Not started",P12="Not needed")),"Not started",IF(AND(OR(O12="Being checked",O12="Done",O12="Not needed"),OR(P12="Being checked",P12="Done",P12="Not needed")),"Being checked","In progress")))))</f>
        <v/>
      </c>
      <c r="R12" s="24">
        <f>IFERROR((IF(OR(O12="Not needed",O12="Stuck"),0,INDEX(Settings!$E$5:$E$8,MATCH(O12,Settings!$D$5:$D$8,0)))+IF(OR(P12="Not needed",P12="Stuck"),0,INDEX(Settings!$E$5:$E$8,MATCH(P12,Settings!$D$5:$D$8,0))))/((O12&lt;&gt;"Not needed")+(P12&lt;&gt;"Not needed")),0)</f>
        <v/>
      </c>
      <c r="S12" s="19" t="n"/>
    </row>
    <row r="13">
      <c r="A13" s="13" t="n">
        <v>9</v>
      </c>
      <c r="B13" s="14" t="inlineStr">
        <is>
          <t>Finding jobs</t>
        </is>
      </c>
      <c r="C13" s="15" t="inlineStr">
        <is>
          <t>Collect jobs from company websites</t>
        </is>
      </c>
      <c r="D13" s="14" t="inlineStr">
        <is>
          <t>Real jobs are gathered from company career pages.</t>
        </is>
      </c>
      <c r="E13" s="14" t="inlineStr">
        <is>
          <t>Show where each job came from</t>
        </is>
      </c>
      <c r="F13" s="14" t="inlineStr">
        <is>
          <t>Collect jobs from career pages on a schedule</t>
        </is>
      </c>
      <c r="G13" s="14" t="inlineStr">
        <is>
          <t>Phase 1: Accounts and job matching</t>
        </is>
      </c>
      <c r="H13" s="13" t="n">
        <v>2</v>
      </c>
      <c r="I13" s="16">
        <f>Settings!$B$5+(H13-1)*7+4</f>
        <v/>
      </c>
      <c r="J13" s="13" t="inlineStr">
        <is>
          <t>Developer B</t>
        </is>
      </c>
      <c r="K13" s="13" t="inlineStr">
        <is>
          <t>Developer A</t>
        </is>
      </c>
      <c r="L13" s="13" t="inlineStr">
        <is>
          <t>Yes</t>
        </is>
      </c>
      <c r="M13" s="14" t="inlineStr">
        <is>
          <t>Jobs are made up in code</t>
        </is>
      </c>
      <c r="N13" s="14" t="inlineStr">
        <is>
          <t>List of target companies</t>
        </is>
      </c>
      <c r="O13" s="17" t="inlineStr">
        <is>
          <t>Not started</t>
        </is>
      </c>
      <c r="P13" s="17" t="inlineStr">
        <is>
          <t>Not started</t>
        </is>
      </c>
      <c r="Q13" s="13">
        <f>IF(AND(O13="Not needed",P13="Not needed"),"Not needed",IF(OR(O13="Stuck",P13="Stuck"),"Stuck",IF(AND(OR(O13="Done",O13="Not needed"),OR(P13="Done",P13="Not needed")),"Done",IF(AND(OR(O13="Not started",O13="Not needed"),OR(P13="Not started",P13="Not needed")),"Not started",IF(AND(OR(O13="Being checked",O13="Done",O13="Not needed"),OR(P13="Being checked",P13="Done",P13="Not needed")),"Being checked","In progress")))))</f>
        <v/>
      </c>
      <c r="R13" s="18">
        <f>IFERROR((IF(OR(O13="Not needed",O13="Stuck"),0,INDEX(Settings!$E$5:$E$8,MATCH(O13,Settings!$D$5:$D$8,0)))+IF(OR(P13="Not needed",P13="Stuck"),0,INDEX(Settings!$E$5:$E$8,MATCH(P13,Settings!$D$5:$D$8,0))))/((O13&lt;&gt;"Not needed")+(P13&lt;&gt;"Not needed")),0)</f>
        <v/>
      </c>
      <c r="S13" s="19" t="n"/>
    </row>
    <row r="14">
      <c r="A14" s="20" t="n">
        <v>10</v>
      </c>
      <c r="B14" s="21" t="inlineStr">
        <is>
          <t>Finding jobs</t>
        </is>
      </c>
      <c r="C14" s="22" t="inlineStr">
        <is>
          <t>Collect jobs from LinkedIn, Indeed, Dice and Monster</t>
        </is>
      </c>
      <c r="D14" s="21" t="inlineStr">
        <is>
          <t>Jobs from the big job boards appear in the app.</t>
        </is>
      </c>
      <c r="E14" s="21" t="inlineStr">
        <is>
          <t>Label each job with its job board</t>
        </is>
      </c>
      <c r="F14" s="21" t="inlineStr">
        <is>
          <t>Connect to a licensed job-data provider (copying sites directly breaks their rules)</t>
        </is>
      </c>
      <c r="G14" s="21" t="inlineStr">
        <is>
          <t>Phase 1: Accounts and job matching</t>
        </is>
      </c>
      <c r="H14" s="20" t="n">
        <v>2</v>
      </c>
      <c r="I14" s="23">
        <f>Settings!$B$5+(H14-1)*7+4</f>
        <v/>
      </c>
      <c r="J14" s="20" t="inlineStr">
        <is>
          <t>Developer B</t>
        </is>
      </c>
      <c r="K14" s="20" t="inlineStr">
        <is>
          <t>Developer A</t>
        </is>
      </c>
      <c r="L14" s="20" t="inlineStr">
        <is>
          <t>Yes</t>
        </is>
      </c>
      <c r="M14" s="21" t="inlineStr">
        <is>
          <t>Nothing built yet</t>
        </is>
      </c>
      <c r="N14" s="21" t="inlineStr">
        <is>
          <t>Job-data provider account</t>
        </is>
      </c>
      <c r="O14" s="17" t="inlineStr">
        <is>
          <t>Not started</t>
        </is>
      </c>
      <c r="P14" s="17" t="inlineStr">
        <is>
          <t>Not started</t>
        </is>
      </c>
      <c r="Q14" s="20">
        <f>IF(AND(O14="Not needed",P14="Not needed"),"Not needed",IF(OR(O14="Stuck",P14="Stuck"),"Stuck",IF(AND(OR(O14="Done",O14="Not needed"),OR(P14="Done",P14="Not needed")),"Done",IF(AND(OR(O14="Not started",O14="Not needed"),OR(P14="Not started",P14="Not needed")),"Not started",IF(AND(OR(O14="Being checked",O14="Done",O14="Not needed"),OR(P14="Being checked",P14="Done",P14="Not needed")),"Being checked","In progress")))))</f>
        <v/>
      </c>
      <c r="R14" s="24">
        <f>IFERROR((IF(OR(O14="Not needed",O14="Stuck"),0,INDEX(Settings!$E$5:$E$8,MATCH(O14,Settings!$D$5:$D$8,0)))+IF(OR(P14="Not needed",P14="Stuck"),0,INDEX(Settings!$E$5:$E$8,MATCH(P14,Settings!$D$5:$D$8,0))))/((O14&lt;&gt;"Not needed")+(P14&lt;&gt;"Not needed")),0)</f>
        <v/>
      </c>
      <c r="S14" s="19" t="n"/>
    </row>
    <row r="15">
      <c r="A15" s="13" t="n">
        <v>11</v>
      </c>
      <c r="B15" s="14" t="inlineStr">
        <is>
          <t>Finding jobs</t>
        </is>
      </c>
      <c r="C15" s="15" t="inlineStr">
        <is>
          <t>Add a job by pasting it in</t>
        </is>
      </c>
      <c r="D15" s="14" t="inlineStr">
        <is>
          <t>Users can paste any job description they found themselves.</t>
        </is>
      </c>
      <c r="E15" s="14" t="inlineStr">
        <is>
          <t>Paste-a-job box</t>
        </is>
      </c>
      <c r="F15" s="14" t="inlineStr">
        <is>
          <t>Save the pasted job and analyse it</t>
        </is>
      </c>
      <c r="G15" s="14" t="inlineStr">
        <is>
          <t>Phase 1: Accounts and job matching</t>
        </is>
      </c>
      <c r="H15" s="13" t="n">
        <v>2</v>
      </c>
      <c r="I15" s="16">
        <f>Settings!$B$5+(H15-1)*7+4</f>
        <v/>
      </c>
      <c r="J15" s="13" t="inlineStr">
        <is>
          <t>Developer B</t>
        </is>
      </c>
      <c r="K15" s="13" t="inlineStr">
        <is>
          <t>Developer A</t>
        </is>
      </c>
      <c r="L15" s="13" t="inlineStr">
        <is>
          <t>Yes</t>
        </is>
      </c>
      <c r="M15" s="14" t="inlineStr">
        <is>
          <t>Paste box exists, basic keyword reading</t>
        </is>
      </c>
      <c r="N15" s="14" t="inlineStr">
        <is>
          <t>—</t>
        </is>
      </c>
      <c r="O15" s="17" t="inlineStr">
        <is>
          <t>Not started</t>
        </is>
      </c>
      <c r="P15" s="17" t="inlineStr">
        <is>
          <t>Not started</t>
        </is>
      </c>
      <c r="Q15" s="13">
        <f>IF(AND(O15="Not needed",P15="Not needed"),"Not needed",IF(OR(O15="Stuck",P15="Stuck"),"Stuck",IF(AND(OR(O15="Done",O15="Not needed"),OR(P15="Done",P15="Not needed")),"Done",IF(AND(OR(O15="Not started",O15="Not needed"),OR(P15="Not started",P15="Not needed")),"Not started",IF(AND(OR(O15="Being checked",O15="Done",O15="Not needed"),OR(P15="Being checked",P15="Done",P15="Not needed")),"Being checked","In progress")))))</f>
        <v/>
      </c>
      <c r="R15" s="18">
        <f>IFERROR((IF(OR(O15="Not needed",O15="Stuck"),0,INDEX(Settings!$E$5:$E$8,MATCH(O15,Settings!$D$5:$D$8,0)))+IF(OR(P15="Not needed",P15="Stuck"),0,INDEX(Settings!$E$5:$E$8,MATCH(P15,Settings!$D$5:$D$8,0))))/((O15&lt;&gt;"Not needed")+(P15&lt;&gt;"Not needed")),0)</f>
        <v/>
      </c>
      <c r="S15" s="19" t="n"/>
    </row>
    <row r="16">
      <c r="A16" s="20" t="n">
        <v>12</v>
      </c>
      <c r="B16" s="21" t="inlineStr">
        <is>
          <t>Finding jobs</t>
        </is>
      </c>
      <c r="C16" s="22" t="inlineStr">
        <is>
          <t>Remove duplicate and old jobs</t>
        </is>
      </c>
      <c r="D16" s="21" t="inlineStr">
        <is>
          <t>The same job never shows twice, and old jobs are marked.</t>
        </is>
      </c>
      <c r="E16" s="21" t="inlineStr">
        <is>
          <t>Show 'posted N days ago'</t>
        </is>
      </c>
      <c r="F16" s="21" t="inlineStr">
        <is>
          <t>Spot duplicates across sources, mark old jobs</t>
        </is>
      </c>
      <c r="G16" s="21" t="inlineStr">
        <is>
          <t>Phase 1: Accounts and job matching</t>
        </is>
      </c>
      <c r="H16" s="20" t="n">
        <v>2</v>
      </c>
      <c r="I16" s="23">
        <f>Settings!$B$5+(H16-1)*7+4</f>
        <v/>
      </c>
      <c r="J16" s="20" t="inlineStr">
        <is>
          <t>Developer B</t>
        </is>
      </c>
      <c r="K16" s="20" t="inlineStr">
        <is>
          <t>Developer A</t>
        </is>
      </c>
      <c r="L16" s="20" t="inlineStr">
        <is>
          <t>Yes</t>
        </is>
      </c>
      <c r="M16" s="21" t="inlineStr">
        <is>
          <t>Nothing built yet</t>
        </is>
      </c>
      <c r="N16" s="21" t="inlineStr">
        <is>
          <t>—</t>
        </is>
      </c>
      <c r="O16" s="17" t="inlineStr">
        <is>
          <t>Not started</t>
        </is>
      </c>
      <c r="P16" s="17" t="inlineStr">
        <is>
          <t>Not started</t>
        </is>
      </c>
      <c r="Q16" s="20">
        <f>IF(AND(O16="Not needed",P16="Not needed"),"Not needed",IF(OR(O16="Stuck",P16="Stuck"),"Stuck",IF(AND(OR(O16="Done",O16="Not needed"),OR(P16="Done",P16="Not needed")),"Done",IF(AND(OR(O16="Not started",O16="Not needed"),OR(P16="Not started",P16="Not needed")),"Not started",IF(AND(OR(O16="Being checked",O16="Done",O16="Not needed"),OR(P16="Being checked",P16="Done",P16="Not needed")),"Being checked","In progress")))))</f>
        <v/>
      </c>
      <c r="R16" s="24">
        <f>IFERROR((IF(OR(O16="Not needed",O16="Stuck"),0,INDEX(Settings!$E$5:$E$8,MATCH(O16,Settings!$D$5:$D$8,0)))+IF(OR(P16="Not needed",P16="Stuck"),0,INDEX(Settings!$E$5:$E$8,MATCH(P16,Settings!$D$5:$D$8,0))))/((O16&lt;&gt;"Not needed")+(P16&lt;&gt;"Not needed")),0)</f>
        <v/>
      </c>
      <c r="S16" s="19" t="n"/>
    </row>
    <row r="17">
      <c r="A17" s="13" t="n">
        <v>13</v>
      </c>
      <c r="B17" s="14" t="inlineStr">
        <is>
          <t>Finding jobs</t>
        </is>
      </c>
      <c r="C17" s="15" t="inlineStr">
        <is>
          <t>Search, filter and save jobs</t>
        </is>
      </c>
      <c r="D17" s="14" t="inlineStr">
        <is>
          <t>Users search jobs, filter by role, location and seniority, and save or hide them.</t>
        </is>
      </c>
      <c r="E17" s="14" t="inlineStr">
        <is>
          <t>Jobs page with search, filters, save and hide</t>
        </is>
      </c>
      <c r="F17" s="14" t="inlineStr">
        <is>
          <t>Search with filters</t>
        </is>
      </c>
      <c r="G17" s="14" t="inlineStr">
        <is>
          <t>Phase 1: Accounts and job matching</t>
        </is>
      </c>
      <c r="H17" s="13" t="n">
        <v>2</v>
      </c>
      <c r="I17" s="16">
        <f>Settings!$B$5+(H17-1)*7+4</f>
        <v/>
      </c>
      <c r="J17" s="13" t="inlineStr">
        <is>
          <t>Developer B</t>
        </is>
      </c>
      <c r="K17" s="13" t="inlineStr">
        <is>
          <t>Developer A</t>
        </is>
      </c>
      <c r="L17" s="13" t="inlineStr">
        <is>
          <t>Yes</t>
        </is>
      </c>
      <c r="M17" s="14" t="inlineStr">
        <is>
          <t>Page exists but shows made-up sample data</t>
        </is>
      </c>
      <c r="N17" s="14" t="inlineStr">
        <is>
          <t>—</t>
        </is>
      </c>
      <c r="O17" s="17" t="inlineStr">
        <is>
          <t>Not started</t>
        </is>
      </c>
      <c r="P17" s="17" t="inlineStr">
        <is>
          <t>Not started</t>
        </is>
      </c>
      <c r="Q17" s="13">
        <f>IF(AND(O17="Not needed",P17="Not needed"),"Not needed",IF(OR(O17="Stuck",P17="Stuck"),"Stuck",IF(AND(OR(O17="Done",O17="Not needed"),OR(P17="Done",P17="Not needed")),"Done",IF(AND(OR(O17="Not started",O17="Not needed"),OR(P17="Not started",P17="Not needed")),"Not started",IF(AND(OR(O17="Being checked",O17="Done",O17="Not needed"),OR(P17="Being checked",P17="Done",P17="Not needed")),"Being checked","In progress")))))</f>
        <v/>
      </c>
      <c r="R17" s="18">
        <f>IFERROR((IF(OR(O17="Not needed",O17="Stuck"),0,INDEX(Settings!$E$5:$E$8,MATCH(O17,Settings!$D$5:$D$8,0)))+IF(OR(P17="Not needed",P17="Stuck"),0,INDEX(Settings!$E$5:$E$8,MATCH(P17,Settings!$D$5:$D$8,0))))/((O17&lt;&gt;"Not needed")+(P17&lt;&gt;"Not needed")),0)</f>
        <v/>
      </c>
      <c r="S17" s="19" t="n"/>
    </row>
    <row r="18">
      <c r="A18" s="20" t="n">
        <v>14</v>
      </c>
      <c r="B18" s="21" t="inlineStr">
        <is>
          <t>Finding jobs</t>
        </is>
      </c>
      <c r="C18" s="22" t="inlineStr">
        <is>
          <t>Job alerts</t>
        </is>
      </c>
      <c r="D18" s="21" t="inlineStr">
        <is>
          <t>Users get told when a new job matches what they want.</t>
        </is>
      </c>
      <c r="E18" s="21" t="inlineStr">
        <is>
          <t>Set up an alert, notification bell</t>
        </is>
      </c>
      <c r="F18" s="21" t="inlineStr">
        <is>
          <t>Check new jobs against each alert</t>
        </is>
      </c>
      <c r="G18" s="21" t="inlineStr">
        <is>
          <t>Phase 1: Accounts and job matching</t>
        </is>
      </c>
      <c r="H18" s="20" t="n">
        <v>3</v>
      </c>
      <c r="I18" s="23">
        <f>Settings!$B$5+(H18-1)*7+4</f>
        <v/>
      </c>
      <c r="J18" s="20" t="inlineStr">
        <is>
          <t>Developer B</t>
        </is>
      </c>
      <c r="K18" s="20" t="inlineStr">
        <is>
          <t>Developer A</t>
        </is>
      </c>
      <c r="L18" s="20" t="inlineStr">
        <is>
          <t>No</t>
        </is>
      </c>
      <c r="M18" s="21" t="inlineStr">
        <is>
          <t>Alert form exists, nothing is sent</t>
        </is>
      </c>
      <c r="N18" s="21" t="inlineStr">
        <is>
          <t>—</t>
        </is>
      </c>
      <c r="O18" s="17" t="inlineStr">
        <is>
          <t>Not started</t>
        </is>
      </c>
      <c r="P18" s="17" t="inlineStr">
        <is>
          <t>Not started</t>
        </is>
      </c>
      <c r="Q18" s="20">
        <f>IF(AND(O18="Not needed",P18="Not needed"),"Not needed",IF(OR(O18="Stuck",P18="Stuck"),"Stuck",IF(AND(OR(O18="Done",O18="Not needed"),OR(P18="Done",P18="Not needed")),"Done",IF(AND(OR(O18="Not started",O18="Not needed"),OR(P18="Not started",P18="Not needed")),"Not started",IF(AND(OR(O18="Being checked",O18="Done",O18="Not needed"),OR(P18="Being checked",P18="Done",P18="Not needed")),"Being checked","In progress")))))</f>
        <v/>
      </c>
      <c r="R18" s="24">
        <f>IFERROR((IF(OR(O18="Not needed",O18="Stuck"),0,INDEX(Settings!$E$5:$E$8,MATCH(O18,Settings!$D$5:$D$8,0)))+IF(OR(P18="Not needed",P18="Stuck"),0,INDEX(Settings!$E$5:$E$8,MATCH(P18,Settings!$D$5:$D$8,0))))/((O18&lt;&gt;"Not needed")+(P18&lt;&gt;"Not needed")),0)</f>
        <v/>
      </c>
      <c r="S18" s="19" t="n"/>
    </row>
    <row r="19">
      <c r="A19" s="13" t="n">
        <v>15</v>
      </c>
      <c r="B19" s="14" t="inlineStr">
        <is>
          <t>Finding jobs</t>
        </is>
      </c>
      <c r="C19" s="15" t="inlineStr">
        <is>
          <t>Read the skills a job needs</t>
        </is>
      </c>
      <c r="D19" s="14" t="inlineStr">
        <is>
          <t>The app pulls the required skills out of any job description.</t>
        </is>
      </c>
      <c r="E19" s="14" t="inlineStr">
        <is>
          <t>Show required skills on the job page</t>
        </is>
      </c>
      <c r="F19" s="14" t="inlineStr">
        <is>
          <t>AI reads the job description; test it against expert-checked examples</t>
        </is>
      </c>
      <c r="G19" s="14" t="inlineStr">
        <is>
          <t>Phase 1: Accounts and job matching</t>
        </is>
      </c>
      <c r="H19" s="13" t="n">
        <v>1</v>
      </c>
      <c r="I19" s="16">
        <f>Settings!$B$5+(H19-1)*7+4</f>
        <v/>
      </c>
      <c r="J19" s="13" t="inlineStr">
        <is>
          <t>Developer B</t>
        </is>
      </c>
      <c r="K19" s="13" t="inlineStr">
        <is>
          <t>Developer A</t>
        </is>
      </c>
      <c r="L19" s="13" t="inlineStr">
        <is>
          <t>Yes</t>
        </is>
      </c>
      <c r="M19" s="14" t="inlineStr">
        <is>
          <t>Simple keyword matching only</t>
        </is>
      </c>
      <c r="N19" s="14" t="inlineStr">
        <is>
          <t>Expert-checked job descriptions</t>
        </is>
      </c>
      <c r="O19" s="17" t="inlineStr">
        <is>
          <t>Not started</t>
        </is>
      </c>
      <c r="P19" s="17" t="inlineStr">
        <is>
          <t>Not started</t>
        </is>
      </c>
      <c r="Q19" s="13">
        <f>IF(AND(O19="Not needed",P19="Not needed"),"Not needed",IF(OR(O19="Stuck",P19="Stuck"),"Stuck",IF(AND(OR(O19="Done",O19="Not needed"),OR(P19="Done",P19="Not needed")),"Done",IF(AND(OR(O19="Not started",O19="Not needed"),OR(P19="Not started",P19="Not needed")),"Not started",IF(AND(OR(O19="Being checked",O19="Done",O19="Not needed"),OR(P19="Being checked",P19="Done",P19="Not needed")),"Being checked","In progress")))))</f>
        <v/>
      </c>
      <c r="R19" s="18">
        <f>IFERROR((IF(OR(O19="Not needed",O19="Stuck"),0,INDEX(Settings!$E$5:$E$8,MATCH(O19,Settings!$D$5:$D$8,0)))+IF(OR(P19="Not needed",P19="Stuck"),0,INDEX(Settings!$E$5:$E$8,MATCH(P19,Settings!$D$5:$D$8,0))))/((O19&lt;&gt;"Not needed")+(P19&lt;&gt;"Not needed")),0)</f>
        <v/>
      </c>
      <c r="S19" s="19" t="n"/>
    </row>
    <row r="20">
      <c r="A20" s="20" t="n">
        <v>16</v>
      </c>
      <c r="B20" s="21" t="inlineStr">
        <is>
          <t>Finding jobs</t>
        </is>
      </c>
      <c r="C20" s="22" t="inlineStr">
        <is>
          <t>Read the certifications and experience a job needs</t>
        </is>
      </c>
      <c r="D20" s="21" t="inlineStr">
        <is>
          <t>The app pulls out required certifications, years of experience and seniority.</t>
        </is>
      </c>
      <c r="E20" s="21" t="inlineStr">
        <is>
          <t>Requirements panel on the job page</t>
        </is>
      </c>
      <c r="F20" s="21" t="inlineStr">
        <is>
          <t>AI pulls out certifications, years and seniority</t>
        </is>
      </c>
      <c r="G20" s="21" t="inlineStr">
        <is>
          <t>Phase 1: Accounts and job matching</t>
        </is>
      </c>
      <c r="H20" s="20" t="n">
        <v>1</v>
      </c>
      <c r="I20" s="23">
        <f>Settings!$B$5+(H20-1)*7+4</f>
        <v/>
      </c>
      <c r="J20" s="20" t="inlineStr">
        <is>
          <t>Developer B</t>
        </is>
      </c>
      <c r="K20" s="20" t="inlineStr">
        <is>
          <t>Developer A</t>
        </is>
      </c>
      <c r="L20" s="20" t="inlineStr">
        <is>
          <t>Yes</t>
        </is>
      </c>
      <c r="M20" s="21" t="inlineStr">
        <is>
          <t>Partly done in the recruiter tool</t>
        </is>
      </c>
      <c r="N20" s="21" t="inlineStr">
        <is>
          <t>—</t>
        </is>
      </c>
      <c r="O20" s="17" t="inlineStr">
        <is>
          <t>Not started</t>
        </is>
      </c>
      <c r="P20" s="17" t="inlineStr">
        <is>
          <t>Not started</t>
        </is>
      </c>
      <c r="Q20" s="20">
        <f>IF(AND(O20="Not needed",P20="Not needed"),"Not needed",IF(OR(O20="Stuck",P20="Stuck"),"Stuck",IF(AND(OR(O20="Done",O20="Not needed"),OR(P20="Done",P20="Not needed")),"Done",IF(AND(OR(O20="Not started",O20="Not needed"),OR(P20="Not started",P20="Not needed")),"Not started",IF(AND(OR(O20="Being checked",O20="Done",O20="Not needed"),OR(P20="Being checked",P20="Done",P20="Not needed")),"Being checked","In progress")))))</f>
        <v/>
      </c>
      <c r="R20" s="24">
        <f>IFERROR((IF(OR(O20="Not needed",O20="Stuck"),0,INDEX(Settings!$E$5:$E$8,MATCH(O20,Settings!$D$5:$D$8,0)))+IF(OR(P20="Not needed",P20="Stuck"),0,INDEX(Settings!$E$5:$E$8,MATCH(P20,Settings!$D$5:$D$8,0))))/((O20&lt;&gt;"Not needed")+(P20&lt;&gt;"Not needed")),0)</f>
        <v/>
      </c>
      <c r="S20" s="19" t="n"/>
    </row>
    <row r="21">
      <c r="A21" s="13" t="n">
        <v>17</v>
      </c>
      <c r="B21" s="14" t="inlineStr">
        <is>
          <t>Finding jobs</t>
        </is>
      </c>
      <c r="C21" s="15" t="inlineStr">
        <is>
          <t>Find the keywords recruiters' software looks for</t>
        </is>
      </c>
      <c r="D21" s="14" t="inlineStr">
        <is>
          <t>Users see the words that screening software (ATS) will scan for.</t>
        </is>
      </c>
      <c r="E21" s="14" t="inlineStr">
        <is>
          <t>Keyword list, most important first</t>
        </is>
      </c>
      <c r="F21" s="14" t="inlineStr">
        <is>
          <t>Rank keywords by importance</t>
        </is>
      </c>
      <c r="G21" s="14" t="inlineStr">
        <is>
          <t>Phase 1: Accounts and job matching</t>
        </is>
      </c>
      <c r="H21" s="13" t="n">
        <v>1</v>
      </c>
      <c r="I21" s="16">
        <f>Settings!$B$5+(H21-1)*7+4</f>
        <v/>
      </c>
      <c r="J21" s="13" t="inlineStr">
        <is>
          <t>Developer B</t>
        </is>
      </c>
      <c r="K21" s="13" t="inlineStr">
        <is>
          <t>Developer A</t>
        </is>
      </c>
      <c r="L21" s="13" t="inlineStr">
        <is>
          <t>Yes</t>
        </is>
      </c>
      <c r="M21" s="14" t="inlineStr">
        <is>
          <t>Nothing built yet</t>
        </is>
      </c>
      <c r="N21" s="14" t="inlineStr">
        <is>
          <t>—</t>
        </is>
      </c>
      <c r="O21" s="17" t="inlineStr">
        <is>
          <t>Not started</t>
        </is>
      </c>
      <c r="P21" s="17" t="inlineStr">
        <is>
          <t>Not started</t>
        </is>
      </c>
      <c r="Q21" s="13">
        <f>IF(AND(O21="Not needed",P21="Not needed"),"Not needed",IF(OR(O21="Stuck",P21="Stuck"),"Stuck",IF(AND(OR(O21="Done",O21="Not needed"),OR(P21="Done",P21="Not needed")),"Done",IF(AND(OR(O21="Not started",O21="Not needed"),OR(P21="Not started",P21="Not needed")),"Not started",IF(AND(OR(O21="Being checked",O21="Done",O21="Not needed"),OR(P21="Being checked",P21="Done",P21="Not needed")),"Being checked","In progress")))))</f>
        <v/>
      </c>
      <c r="R21" s="18">
        <f>IFERROR((IF(OR(O21="Not needed",O21="Stuck"),0,INDEX(Settings!$E$5:$E$8,MATCH(O21,Settings!$D$5:$D$8,0)))+IF(OR(P21="Not needed",P21="Stuck"),0,INDEX(Settings!$E$5:$E$8,MATCH(P21,Settings!$D$5:$D$8,0))))/((O21&lt;&gt;"Not needed")+(P21&lt;&gt;"Not needed")),0)</f>
        <v/>
      </c>
      <c r="S21" s="19" t="n"/>
    </row>
    <row r="22">
      <c r="A22" s="20" t="n">
        <v>18</v>
      </c>
      <c r="B22" s="21" t="inlineStr">
        <is>
          <t>Finding jobs</t>
        </is>
      </c>
      <c r="C22" s="22" t="inlineStr">
        <is>
          <t>Separate must-have skills from nice-to-have</t>
        </is>
      </c>
      <c r="D22" s="21" t="inlineStr">
        <is>
          <t>Users see which skills are essential and which are a bonus.</t>
        </is>
      </c>
      <c r="E22" s="21" t="inlineStr">
        <is>
          <t>Two groups on the job page</t>
        </is>
      </c>
      <c r="F22" s="21" t="inlineStr">
        <is>
          <t>Sort skills into must-have and nice-to-have</t>
        </is>
      </c>
      <c r="G22" s="21" t="inlineStr">
        <is>
          <t>Phase 1: Accounts and job matching</t>
        </is>
      </c>
      <c r="H22" s="20" t="n">
        <v>1</v>
      </c>
      <c r="I22" s="23">
        <f>Settings!$B$5+(H22-1)*7+4</f>
        <v/>
      </c>
      <c r="J22" s="20" t="inlineStr">
        <is>
          <t>Developer B</t>
        </is>
      </c>
      <c r="K22" s="20" t="inlineStr">
        <is>
          <t>Developer A</t>
        </is>
      </c>
      <c r="L22" s="20" t="inlineStr">
        <is>
          <t>Yes</t>
        </is>
      </c>
      <c r="M22" s="21" t="inlineStr">
        <is>
          <t>Done in the recruiter tool</t>
        </is>
      </c>
      <c r="N22" s="21" t="inlineStr">
        <is>
          <t>—</t>
        </is>
      </c>
      <c r="O22" s="17" t="inlineStr">
        <is>
          <t>Not started</t>
        </is>
      </c>
      <c r="P22" s="17" t="inlineStr">
        <is>
          <t>Not started</t>
        </is>
      </c>
      <c r="Q22" s="20">
        <f>IF(AND(O22="Not needed",P22="Not needed"),"Not needed",IF(OR(O22="Stuck",P22="Stuck"),"Stuck",IF(AND(OR(O22="Done",O22="Not needed"),OR(P22="Done",P22="Not needed")),"Done",IF(AND(OR(O22="Not started",O22="Not needed"),OR(P22="Not started",P22="Not needed")),"Not started",IF(AND(OR(O22="Being checked",O22="Done",O22="Not needed"),OR(P22="Being checked",P22="Done",P22="Not needed")),"Being checked","In progress")))))</f>
        <v/>
      </c>
      <c r="R22" s="24">
        <f>IFERROR((IF(OR(O22="Not needed",O22="Stuck"),0,INDEX(Settings!$E$5:$E$8,MATCH(O22,Settings!$D$5:$D$8,0)))+IF(OR(P22="Not needed",P22="Stuck"),0,INDEX(Settings!$E$5:$E$8,MATCH(P22,Settings!$D$5:$D$8,0))))/((O22&lt;&gt;"Not needed")+(P22&lt;&gt;"Not needed")),0)</f>
        <v/>
      </c>
      <c r="S22" s="19" t="n"/>
    </row>
    <row r="23">
      <c r="A23" s="13" t="n">
        <v>19</v>
      </c>
      <c r="B23" s="14" t="inlineStr">
        <is>
          <t>Finding jobs</t>
        </is>
      </c>
      <c r="C23" s="15" t="inlineStr">
        <is>
          <t>Match score for each job</t>
        </is>
      </c>
      <c r="D23" s="14" t="inlineStr">
        <is>
          <t>Each job shows a percentage for how well the user fits it.</t>
        </is>
      </c>
      <c r="E23" s="14" t="inlineStr">
        <is>
          <t>Match % on job cards and dashboard</t>
        </is>
      </c>
      <c r="F23" s="14" t="inlineStr">
        <is>
          <t>Connect the existing FORGE Match scoring to user profiles</t>
        </is>
      </c>
      <c r="G23" s="14" t="inlineStr">
        <is>
          <t>Phase 1: Accounts and job matching</t>
        </is>
      </c>
      <c r="H23" s="13" t="n">
        <v>3</v>
      </c>
      <c r="I23" s="16">
        <f>Settings!$B$5+(H23-1)*7+4</f>
        <v/>
      </c>
      <c r="J23" s="13" t="inlineStr">
        <is>
          <t>Developer B</t>
        </is>
      </c>
      <c r="K23" s="13" t="inlineStr">
        <is>
          <t>Developer A</t>
        </is>
      </c>
      <c r="L23" s="13" t="inlineStr">
        <is>
          <t>Yes</t>
        </is>
      </c>
      <c r="M23" s="14" t="inlineStr">
        <is>
          <t>Scoring exists in the recruiter tool</t>
        </is>
      </c>
      <c r="N23" s="14" t="inlineStr">
        <is>
          <t>—</t>
        </is>
      </c>
      <c r="O23" s="17" t="inlineStr">
        <is>
          <t>Not started</t>
        </is>
      </c>
      <c r="P23" s="17" t="inlineStr">
        <is>
          <t>Not started</t>
        </is>
      </c>
      <c r="Q23" s="13">
        <f>IF(AND(O23="Not needed",P23="Not needed"),"Not needed",IF(OR(O23="Stuck",P23="Stuck"),"Stuck",IF(AND(OR(O23="Done",O23="Not needed"),OR(P23="Done",P23="Not needed")),"Done",IF(AND(OR(O23="Not started",O23="Not needed"),OR(P23="Not started",P23="Not needed")),"Not started",IF(AND(OR(O23="Being checked",O23="Done",O23="Not needed"),OR(P23="Being checked",P23="Done",P23="Not needed")),"Being checked","In progress")))))</f>
        <v/>
      </c>
      <c r="R23" s="18">
        <f>IFERROR((IF(OR(O23="Not needed",O23="Stuck"),0,INDEX(Settings!$E$5:$E$8,MATCH(O23,Settings!$D$5:$D$8,0)))+IF(OR(P23="Not needed",P23="Stuck"),0,INDEX(Settings!$E$5:$E$8,MATCH(P23,Settings!$D$5:$D$8,0))))/((O23&lt;&gt;"Not needed")+(P23&lt;&gt;"Not needed")),0)</f>
        <v/>
      </c>
      <c r="S23" s="19" t="n"/>
    </row>
    <row r="24">
      <c r="A24" s="20" t="n">
        <v>20</v>
      </c>
      <c r="B24" s="21" t="inlineStr">
        <is>
          <t>Finding jobs</t>
        </is>
      </c>
      <c r="C24" s="22" t="inlineStr">
        <is>
          <t>Readiness for each job</t>
        </is>
      </c>
      <c r="D24" s="21" t="inlineStr">
        <is>
          <t>Users see how ready they are for a particular job.</t>
        </is>
      </c>
      <c r="E24" s="21" t="inlineStr">
        <is>
          <t>Readiness indicator on each job</t>
        </is>
      </c>
      <c r="F24" s="21" t="inlineStr">
        <is>
          <t>Work out readiness per job</t>
        </is>
      </c>
      <c r="G24" s="21" t="inlineStr">
        <is>
          <t>Phase 1: Accounts and job matching</t>
        </is>
      </c>
      <c r="H24" s="20" t="n">
        <v>3</v>
      </c>
      <c r="I24" s="23">
        <f>Settings!$B$5+(H24-1)*7+4</f>
        <v/>
      </c>
      <c r="J24" s="20" t="inlineStr">
        <is>
          <t>Developer B</t>
        </is>
      </c>
      <c r="K24" s="20" t="inlineStr">
        <is>
          <t>Developer A</t>
        </is>
      </c>
      <c r="L24" s="20" t="inlineStr">
        <is>
          <t>Yes</t>
        </is>
      </c>
      <c r="M24" s="21" t="inlineStr">
        <is>
          <t>Nothing built yet</t>
        </is>
      </c>
      <c r="N24" s="21" t="inlineStr">
        <is>
          <t>Agreed readiness formula</t>
        </is>
      </c>
      <c r="O24" s="17" t="inlineStr">
        <is>
          <t>Not started</t>
        </is>
      </c>
      <c r="P24" s="17" t="inlineStr">
        <is>
          <t>Not started</t>
        </is>
      </c>
      <c r="Q24" s="20">
        <f>IF(AND(O24="Not needed",P24="Not needed"),"Not needed",IF(OR(O24="Stuck",P24="Stuck"),"Stuck",IF(AND(OR(O24="Done",O24="Not needed"),OR(P24="Done",P24="Not needed")),"Done",IF(AND(OR(O24="Not started",O24="Not needed"),OR(P24="Not started",P24="Not needed")),"Not started",IF(AND(OR(O24="Being checked",O24="Done",O24="Not needed"),OR(P24="Being checked",P24="Done",P24="Not needed")),"Being checked","In progress")))))</f>
        <v/>
      </c>
      <c r="R24" s="24">
        <f>IFERROR((IF(OR(O24="Not needed",O24="Stuck"),0,INDEX(Settings!$E$5:$E$8,MATCH(O24,Settings!$D$5:$D$8,0)))+IF(OR(P24="Not needed",P24="Stuck"),0,INDEX(Settings!$E$5:$E$8,MATCH(P24,Settings!$D$5:$D$8,0))))/((O24&lt;&gt;"Not needed")+(P24&lt;&gt;"Not needed")),0)</f>
        <v/>
      </c>
      <c r="S24" s="19" t="n"/>
    </row>
    <row r="25">
      <c r="A25" s="13" t="n">
        <v>21</v>
      </c>
      <c r="B25" s="14" t="inlineStr">
        <is>
          <t>Finding jobs</t>
        </is>
      </c>
      <c r="C25" s="15" t="inlineStr">
        <is>
          <t>Best jobs first</t>
        </is>
      </c>
      <c r="D25" s="14" t="inlineStr">
        <is>
          <t>Jobs are ranked so the best opportunities come first.</t>
        </is>
      </c>
      <c r="E25" s="14" t="inlineStr">
        <is>
          <t>Top matches list, sort by best opportunity</t>
        </is>
      </c>
      <c r="F25" s="14" t="inlineStr">
        <is>
          <t>Score each opportunity (fit, seniority, pay, growth) and rank</t>
        </is>
      </c>
      <c r="G25" s="14" t="inlineStr">
        <is>
          <t>Phase 1: Accounts and job matching</t>
        </is>
      </c>
      <c r="H25" s="13" t="n">
        <v>3</v>
      </c>
      <c r="I25" s="16">
        <f>Settings!$B$5+(H25-1)*7+4</f>
        <v/>
      </c>
      <c r="J25" s="13" t="inlineStr">
        <is>
          <t>Developer B</t>
        </is>
      </c>
      <c r="K25" s="13" t="inlineStr">
        <is>
          <t>Developer A</t>
        </is>
      </c>
      <c r="L25" s="13" t="inlineStr">
        <is>
          <t>Yes</t>
        </is>
      </c>
      <c r="M25" s="14" t="inlineStr">
        <is>
          <t>Sorted by made-up scores</t>
        </is>
      </c>
      <c r="N25" s="14" t="inlineStr">
        <is>
          <t>—</t>
        </is>
      </c>
      <c r="O25" s="17" t="inlineStr">
        <is>
          <t>Not started</t>
        </is>
      </c>
      <c r="P25" s="17" t="inlineStr">
        <is>
          <t>Not started</t>
        </is>
      </c>
      <c r="Q25" s="13">
        <f>IF(AND(O25="Not needed",P25="Not needed"),"Not needed",IF(OR(O25="Stuck",P25="Stuck"),"Stuck",IF(AND(OR(O25="Done",O25="Not needed"),OR(P25="Done",P25="Not needed")),"Done",IF(AND(OR(O25="Not started",O25="Not needed"),OR(P25="Not started",P25="Not needed")),"Not started",IF(AND(OR(O25="Being checked",O25="Done",O25="Not needed"),OR(P25="Being checked",P25="Done",P25="Not needed")),"Being checked","In progress")))))</f>
        <v/>
      </c>
      <c r="R25" s="18">
        <f>IFERROR((IF(OR(O25="Not needed",O25="Stuck"),0,INDEX(Settings!$E$5:$E$8,MATCH(O25,Settings!$D$5:$D$8,0)))+IF(OR(P25="Not needed",P25="Stuck"),0,INDEX(Settings!$E$5:$E$8,MATCH(P25,Settings!$D$5:$D$8,0))))/((O25&lt;&gt;"Not needed")+(P25&lt;&gt;"Not needed")),0)</f>
        <v/>
      </c>
      <c r="S25" s="19" t="n"/>
    </row>
    <row r="26">
      <c r="A26" s="20" t="n">
        <v>22</v>
      </c>
      <c r="B26" s="21" t="inlineStr">
        <is>
          <t>Finding jobs</t>
        </is>
      </c>
      <c r="C26" s="22" t="inlineStr">
        <is>
          <t>Why this score</t>
        </is>
      </c>
      <c r="D26" s="21" t="inlineStr">
        <is>
          <t>Users see which of their skills matched and which are missing.</t>
        </is>
      </c>
      <c r="E26" s="21" t="inlineStr">
        <is>
          <t>Matched and missing skills breakdown</t>
        </is>
      </c>
      <c r="F26" s="21" t="inlineStr">
        <is>
          <t>Return the reasons with every score</t>
        </is>
      </c>
      <c r="G26" s="21" t="inlineStr">
        <is>
          <t>Phase 1: Accounts and job matching</t>
        </is>
      </c>
      <c r="H26" s="20" t="n">
        <v>3</v>
      </c>
      <c r="I26" s="23">
        <f>Settings!$B$5+(H26-1)*7+4</f>
        <v/>
      </c>
      <c r="J26" s="20" t="inlineStr">
        <is>
          <t>Developer B</t>
        </is>
      </c>
      <c r="K26" s="20" t="inlineStr">
        <is>
          <t>Developer A</t>
        </is>
      </c>
      <c r="L26" s="20" t="inlineStr">
        <is>
          <t>Yes</t>
        </is>
      </c>
      <c r="M26" s="21" t="inlineStr">
        <is>
          <t>Reasons exist in FORGE Match</t>
        </is>
      </c>
      <c r="N26" s="21" t="inlineStr">
        <is>
          <t>—</t>
        </is>
      </c>
      <c r="O26" s="17" t="inlineStr">
        <is>
          <t>Not started</t>
        </is>
      </c>
      <c r="P26" s="17" t="inlineStr">
        <is>
          <t>Not started</t>
        </is>
      </c>
      <c r="Q26" s="20">
        <f>IF(AND(O26="Not needed",P26="Not needed"),"Not needed",IF(OR(O26="Stuck",P26="Stuck"),"Stuck",IF(AND(OR(O26="Done",O26="Not needed"),OR(P26="Done",P26="Not needed")),"Done",IF(AND(OR(O26="Not started",O26="Not needed"),OR(P26="Not started",P26="Not needed")),"Not started",IF(AND(OR(O26="Being checked",O26="Done",O26="Not needed"),OR(P26="Being checked",P26="Done",P26="Not needed")),"Being checked","In progress")))))</f>
        <v/>
      </c>
      <c r="R26" s="24">
        <f>IFERROR((IF(OR(O26="Not needed",O26="Stuck"),0,INDEX(Settings!$E$5:$E$8,MATCH(O26,Settings!$D$5:$D$8,0)))+IF(OR(P26="Not needed",P26="Stuck"),0,INDEX(Settings!$E$5:$E$8,MATCH(P26,Settings!$D$5:$D$8,0))))/((O26&lt;&gt;"Not needed")+(P26&lt;&gt;"Not needed")),0)</f>
        <v/>
      </c>
      <c r="S26" s="19" t="n"/>
    </row>
    <row r="27">
      <c r="A27" s="13" t="n">
        <v>23</v>
      </c>
      <c r="B27" s="14" t="inlineStr">
        <is>
          <t>Finding jobs</t>
        </is>
      </c>
      <c r="C27" s="15" t="inlineStr">
        <is>
          <t>Skills and roles in demand</t>
        </is>
      </c>
      <c r="D27" s="14" t="inlineStr">
        <is>
          <t>Users see which skills and roles employers want most right now.</t>
        </is>
      </c>
      <c r="E27" s="14" t="inlineStr">
        <is>
          <t>Trends panel</t>
        </is>
      </c>
      <c r="F27" s="14" t="inlineStr">
        <is>
          <t>Count demand across collected jobs</t>
        </is>
      </c>
      <c r="G27" s="14" t="inlineStr">
        <is>
          <t>Phase 1: Accounts and job matching</t>
        </is>
      </c>
      <c r="H27" s="13" t="n">
        <v>3</v>
      </c>
      <c r="I27" s="16">
        <f>Settings!$B$5+(H27-1)*7+4</f>
        <v/>
      </c>
      <c r="J27" s="13" t="inlineStr">
        <is>
          <t>Developer B</t>
        </is>
      </c>
      <c r="K27" s="13" t="inlineStr">
        <is>
          <t>Developer A</t>
        </is>
      </c>
      <c r="L27" s="13" t="inlineStr">
        <is>
          <t>No</t>
        </is>
      </c>
      <c r="M27" s="14" t="inlineStr">
        <is>
          <t>Nothing built yet</t>
        </is>
      </c>
      <c r="N27" s="14" t="inlineStr">
        <is>
          <t>Enough collected jobs</t>
        </is>
      </c>
      <c r="O27" s="17" t="inlineStr">
        <is>
          <t>Not started</t>
        </is>
      </c>
      <c r="P27" s="17" t="inlineStr">
        <is>
          <t>Not started</t>
        </is>
      </c>
      <c r="Q27" s="13">
        <f>IF(AND(O27="Not needed",P27="Not needed"),"Not needed",IF(OR(O27="Stuck",P27="Stuck"),"Stuck",IF(AND(OR(O27="Done",O27="Not needed"),OR(P27="Done",P27="Not needed")),"Done",IF(AND(OR(O27="Not started",O27="Not needed"),OR(P27="Not started",P27="Not needed")),"Not started",IF(AND(OR(O27="Being checked",O27="Done",O27="Not needed"),OR(P27="Being checked",P27="Done",P27="Not needed")),"Being checked","In progress")))))</f>
        <v/>
      </c>
      <c r="R27" s="18">
        <f>IFERROR((IF(OR(O27="Not needed",O27="Stuck"),0,INDEX(Settings!$E$5:$E$8,MATCH(O27,Settings!$D$5:$D$8,0)))+IF(OR(P27="Not needed",P27="Stuck"),0,INDEX(Settings!$E$5:$E$8,MATCH(P27,Settings!$D$5:$D$8,0))))/((O27&lt;&gt;"Not needed")+(P27&lt;&gt;"Not needed")),0)</f>
        <v/>
      </c>
      <c r="S27" s="19" t="n"/>
    </row>
    <row r="28">
      <c r="A28" s="20" t="n">
        <v>24</v>
      </c>
      <c r="B28" s="21" t="inlineStr">
        <is>
          <t>Finding jobs</t>
        </is>
      </c>
      <c r="C28" s="22" t="inlineStr">
        <is>
          <t>Salary ranges</t>
        </is>
      </c>
      <c r="D28" s="21" t="inlineStr">
        <is>
          <t>Users see typical pay by role, location and experience.</t>
        </is>
      </c>
      <c r="E28" s="21" t="inlineStr">
        <is>
          <t>Salary panel</t>
        </is>
      </c>
      <c r="F28" s="21" t="inlineStr">
        <is>
          <t>Work out pay ranges from job data</t>
        </is>
      </c>
      <c r="G28" s="21" t="inlineStr">
        <is>
          <t>Phase 4: Progress tracking and organisations</t>
        </is>
      </c>
      <c r="H28" s="20" t="n">
        <v>10</v>
      </c>
      <c r="I28" s="23">
        <f>Settings!$B$5+(H28-1)*7+4</f>
        <v/>
      </c>
      <c r="J28" s="20" t="inlineStr">
        <is>
          <t>Developer B</t>
        </is>
      </c>
      <c r="K28" s="20" t="inlineStr">
        <is>
          <t>Developer A</t>
        </is>
      </c>
      <c r="L28" s="20" t="inlineStr">
        <is>
          <t>No</t>
        </is>
      </c>
      <c r="M28" s="21" t="inlineStr">
        <is>
          <t>Fixed table typed into the code</t>
        </is>
      </c>
      <c r="N28" s="21" t="inlineStr">
        <is>
          <t>Salary data in the job feed</t>
        </is>
      </c>
      <c r="O28" s="17" t="inlineStr">
        <is>
          <t>Not started</t>
        </is>
      </c>
      <c r="P28" s="17" t="inlineStr">
        <is>
          <t>Not started</t>
        </is>
      </c>
      <c r="Q28" s="20">
        <f>IF(AND(O28="Not needed",P28="Not needed"),"Not needed",IF(OR(O28="Stuck",P28="Stuck"),"Stuck",IF(AND(OR(O28="Done",O28="Not needed"),OR(P28="Done",P28="Not needed")),"Done",IF(AND(OR(O28="Not started",O28="Not needed"),OR(P28="Not started",P28="Not needed")),"Not started",IF(AND(OR(O28="Being checked",O28="Done",O28="Not needed"),OR(P28="Being checked",P28="Done",P28="Not needed")),"Being checked","In progress")))))</f>
        <v/>
      </c>
      <c r="R28" s="24">
        <f>IFERROR((IF(OR(O28="Not needed",O28="Stuck"),0,INDEX(Settings!$E$5:$E$8,MATCH(O28,Settings!$D$5:$D$8,0)))+IF(OR(P28="Not needed",P28="Stuck"),0,INDEX(Settings!$E$5:$E$8,MATCH(P28,Settings!$D$5:$D$8,0))))/((O28&lt;&gt;"Not needed")+(P28&lt;&gt;"Not needed")),0)</f>
        <v/>
      </c>
      <c r="S28" s="19" t="n"/>
    </row>
    <row r="29">
      <c r="A29" s="13" t="n">
        <v>25</v>
      </c>
      <c r="B29" s="14" t="inlineStr">
        <is>
          <t>Resumes and learning</t>
        </is>
      </c>
      <c r="C29" s="15" t="inlineStr">
        <is>
          <t>Resume for screening software (ATS)</t>
        </is>
      </c>
      <c r="D29" s="14" t="inlineStr">
        <is>
          <t>Users get a resume that passes the software employers use to filter applications.</t>
        </is>
      </c>
      <c r="E29" s="14" t="inlineStr">
        <is>
          <t>Resume studio: create screening-friendly version</t>
        </is>
      </c>
      <c r="F29" s="14" t="inlineStr">
        <is>
          <t>Write the resume in the user's own voice</t>
        </is>
      </c>
      <c r="G29" s="14" t="inlineStr">
        <is>
          <t>Phase 2: Resumes, learning and own voice</t>
        </is>
      </c>
      <c r="H29" s="13" t="n">
        <v>5</v>
      </c>
      <c r="I29" s="16">
        <f>Settings!$B$5+(H29-1)*7+4</f>
        <v/>
      </c>
      <c r="J29" s="13" t="inlineStr">
        <is>
          <t>Developer B</t>
        </is>
      </c>
      <c r="K29" s="13" t="inlineStr">
        <is>
          <t>Developer A</t>
        </is>
      </c>
      <c r="L29" s="13" t="inlineStr">
        <is>
          <t>Yes</t>
        </is>
      </c>
      <c r="M29" s="14" t="inlineStr">
        <is>
          <t>Template text only</t>
        </is>
      </c>
      <c r="N29" s="14" t="inlineStr">
        <is>
          <t>Resume template from client</t>
        </is>
      </c>
      <c r="O29" s="17" t="inlineStr">
        <is>
          <t>Not started</t>
        </is>
      </c>
      <c r="P29" s="17" t="inlineStr">
        <is>
          <t>Not started</t>
        </is>
      </c>
      <c r="Q29" s="13">
        <f>IF(AND(O29="Not needed",P29="Not needed"),"Not needed",IF(OR(O29="Stuck",P29="Stuck"),"Stuck",IF(AND(OR(O29="Done",O29="Not needed"),OR(P29="Done",P29="Not needed")),"Done",IF(AND(OR(O29="Not started",O29="Not needed"),OR(P29="Not started",P29="Not needed")),"Not started",IF(AND(OR(O29="Being checked",O29="Done",O29="Not needed"),OR(P29="Being checked",P29="Done",P29="Not needed")),"Being checked","In progress")))))</f>
        <v/>
      </c>
      <c r="R29" s="18">
        <f>IFERROR((IF(OR(O29="Not needed",O29="Stuck"),0,INDEX(Settings!$E$5:$E$8,MATCH(O29,Settings!$D$5:$D$8,0)))+IF(OR(P29="Not needed",P29="Stuck"),0,INDEX(Settings!$E$5:$E$8,MATCH(P29,Settings!$D$5:$D$8,0))))/((O29&lt;&gt;"Not needed")+(P29&lt;&gt;"Not needed")),0)</f>
        <v/>
      </c>
      <c r="S29" s="19" t="n"/>
    </row>
    <row r="30">
      <c r="A30" s="20" t="n">
        <v>26</v>
      </c>
      <c r="B30" s="21" t="inlineStr">
        <is>
          <t>Resumes and learning</t>
        </is>
      </c>
      <c r="C30" s="22" t="inlineStr">
        <is>
          <t>Resume for recruiters</t>
        </is>
      </c>
      <c r="D30" s="21" t="inlineStr">
        <is>
          <t>Users get a resume written for a human recruiter to read.</t>
        </is>
      </c>
      <c r="E30" s="21" t="inlineStr">
        <is>
          <t>Create recruiter version</t>
        </is>
      </c>
      <c r="F30" s="21" t="inlineStr">
        <is>
          <t>Write the recruiter version</t>
        </is>
      </c>
      <c r="G30" s="21" t="inlineStr">
        <is>
          <t>Phase 2: Resumes, learning and own voice</t>
        </is>
      </c>
      <c r="H30" s="20" t="n">
        <v>5</v>
      </c>
      <c r="I30" s="23">
        <f>Settings!$B$5+(H30-1)*7+4</f>
        <v/>
      </c>
      <c r="J30" s="20" t="inlineStr">
        <is>
          <t>Developer B</t>
        </is>
      </c>
      <c r="K30" s="20" t="inlineStr">
        <is>
          <t>Developer A</t>
        </is>
      </c>
      <c r="L30" s="20" t="inlineStr">
        <is>
          <t>Yes</t>
        </is>
      </c>
      <c r="M30" s="21" t="inlineStr">
        <is>
          <t>Nothing built yet</t>
        </is>
      </c>
      <c r="N30" s="21" t="inlineStr">
        <is>
          <t>—</t>
        </is>
      </c>
      <c r="O30" s="17" t="inlineStr">
        <is>
          <t>Not started</t>
        </is>
      </c>
      <c r="P30" s="17" t="inlineStr">
        <is>
          <t>Not started</t>
        </is>
      </c>
      <c r="Q30" s="20">
        <f>IF(AND(O30="Not needed",P30="Not needed"),"Not needed",IF(OR(O30="Stuck",P30="Stuck"),"Stuck",IF(AND(OR(O30="Done",O30="Not needed"),OR(P30="Done",P30="Not needed")),"Done",IF(AND(OR(O30="Not started",O30="Not needed"),OR(P30="Not started",P30="Not needed")),"Not started",IF(AND(OR(O30="Being checked",O30="Done",O30="Not needed"),OR(P30="Being checked",P30="Done",P30="Not needed")),"Being checked","In progress")))))</f>
        <v/>
      </c>
      <c r="R30" s="24">
        <f>IFERROR((IF(OR(O30="Not needed",O30="Stuck"),0,INDEX(Settings!$E$5:$E$8,MATCH(O30,Settings!$D$5:$D$8,0)))+IF(OR(P30="Not needed",P30="Stuck"),0,INDEX(Settings!$E$5:$E$8,MATCH(P30,Settings!$D$5:$D$8,0))))/((O30&lt;&gt;"Not needed")+(P30&lt;&gt;"Not needed")),0)</f>
        <v/>
      </c>
      <c r="S30" s="19" t="n"/>
    </row>
    <row r="31">
      <c r="A31" s="13" t="n">
        <v>27</v>
      </c>
      <c r="B31" s="14" t="inlineStr">
        <is>
          <t>Resumes and learning</t>
        </is>
      </c>
      <c r="C31" s="15" t="inlineStr">
        <is>
          <t>Resume for senior roles</t>
        </is>
      </c>
      <c r="D31" s="14" t="inlineStr">
        <is>
          <t>Users going for leadership roles get an executive-style resume.</t>
        </is>
      </c>
      <c r="E31" s="14" t="inlineStr">
        <is>
          <t>Create executive version</t>
        </is>
      </c>
      <c r="F31" s="14" t="inlineStr">
        <is>
          <t>Write the executive version</t>
        </is>
      </c>
      <c r="G31" s="14" t="inlineStr">
        <is>
          <t>Phase 2: Resumes, learning and own voice</t>
        </is>
      </c>
      <c r="H31" s="13" t="n">
        <v>5</v>
      </c>
      <c r="I31" s="16">
        <f>Settings!$B$5+(H31-1)*7+4</f>
        <v/>
      </c>
      <c r="J31" s="13" t="inlineStr">
        <is>
          <t>Developer B</t>
        </is>
      </c>
      <c r="K31" s="13" t="inlineStr">
        <is>
          <t>Developer A</t>
        </is>
      </c>
      <c r="L31" s="13" t="inlineStr">
        <is>
          <t>Yes</t>
        </is>
      </c>
      <c r="M31" s="14" t="inlineStr">
        <is>
          <t>Nothing built yet</t>
        </is>
      </c>
      <c r="N31" s="14" t="inlineStr">
        <is>
          <t>—</t>
        </is>
      </c>
      <c r="O31" s="17" t="inlineStr">
        <is>
          <t>Not started</t>
        </is>
      </c>
      <c r="P31" s="17" t="inlineStr">
        <is>
          <t>Not started</t>
        </is>
      </c>
      <c r="Q31" s="13">
        <f>IF(AND(O31="Not needed",P31="Not needed"),"Not needed",IF(OR(O31="Stuck",P31="Stuck"),"Stuck",IF(AND(OR(O31="Done",O31="Not needed"),OR(P31="Done",P31="Not needed")),"Done",IF(AND(OR(O31="Not started",O31="Not needed"),OR(P31="Not started",P31="Not needed")),"Not started",IF(AND(OR(O31="Being checked",O31="Done",O31="Not needed"),OR(P31="Being checked",P31="Done",P31="Not needed")),"Being checked","In progress")))))</f>
        <v/>
      </c>
      <c r="R31" s="18">
        <f>IFERROR((IF(OR(O31="Not needed",O31="Stuck"),0,INDEX(Settings!$E$5:$E$8,MATCH(O31,Settings!$D$5:$D$8,0)))+IF(OR(P31="Not needed",P31="Stuck"),0,INDEX(Settings!$E$5:$E$8,MATCH(P31,Settings!$D$5:$D$8,0))))/((O31&lt;&gt;"Not needed")+(P31&lt;&gt;"Not needed")),0)</f>
        <v/>
      </c>
      <c r="S31" s="19" t="n"/>
    </row>
    <row r="32">
      <c r="A32" s="20" t="n">
        <v>28</v>
      </c>
      <c r="B32" s="21" t="inlineStr">
        <is>
          <t>Resumes and learning</t>
        </is>
      </c>
      <c r="C32" s="22" t="inlineStr">
        <is>
          <t>Tailor a resume to one job</t>
        </is>
      </c>
      <c r="D32" s="21" t="inlineStr">
        <is>
          <t>Each resume can be adjusted to a specific job's keywords.</t>
        </is>
      </c>
      <c r="E32" s="21" t="inlineStr">
        <is>
          <t>Pick a job, create a tailored version</t>
        </is>
      </c>
      <c r="F32" s="21" t="inlineStr">
        <is>
          <t>Adjust the resume using that job's keywords</t>
        </is>
      </c>
      <c r="G32" s="21" t="inlineStr">
        <is>
          <t>Phase 2: Resumes, learning and own voice</t>
        </is>
      </c>
      <c r="H32" s="20" t="n">
        <v>5</v>
      </c>
      <c r="I32" s="23">
        <f>Settings!$B$5+(H32-1)*7+4</f>
        <v/>
      </c>
      <c r="J32" s="20" t="inlineStr">
        <is>
          <t>Developer B</t>
        </is>
      </c>
      <c r="K32" s="20" t="inlineStr">
        <is>
          <t>Developer A</t>
        </is>
      </c>
      <c r="L32" s="20" t="inlineStr">
        <is>
          <t>Yes</t>
        </is>
      </c>
      <c r="M32" s="21" t="inlineStr">
        <is>
          <t>Nothing built yet</t>
        </is>
      </c>
      <c r="N32" s="21" t="inlineStr">
        <is>
          <t>—</t>
        </is>
      </c>
      <c r="O32" s="17" t="inlineStr">
        <is>
          <t>Not started</t>
        </is>
      </c>
      <c r="P32" s="17" t="inlineStr">
        <is>
          <t>Not started</t>
        </is>
      </c>
      <c r="Q32" s="20">
        <f>IF(AND(O32="Not needed",P32="Not needed"),"Not needed",IF(OR(O32="Stuck",P32="Stuck"),"Stuck",IF(AND(OR(O32="Done",O32="Not needed"),OR(P32="Done",P32="Not needed")),"Done",IF(AND(OR(O32="Not started",O32="Not needed"),OR(P32="Not started",P32="Not needed")),"Not started",IF(AND(OR(O32="Being checked",O32="Done",O32="Not needed"),OR(P32="Being checked",P32="Done",P32="Not needed")),"Being checked","In progress")))))</f>
        <v/>
      </c>
      <c r="R32" s="24">
        <f>IFERROR((IF(OR(O32="Not needed",O32="Stuck"),0,INDEX(Settings!$E$5:$E$8,MATCH(O32,Settings!$D$5:$D$8,0)))+IF(OR(P32="Not needed",P32="Stuck"),0,INDEX(Settings!$E$5:$E$8,MATCH(P32,Settings!$D$5:$D$8,0))))/((O32&lt;&gt;"Not needed")+(P32&lt;&gt;"Not needed")),0)</f>
        <v/>
      </c>
      <c r="S32" s="19" t="n"/>
    </row>
    <row r="33">
      <c r="A33" s="13" t="n">
        <v>29</v>
      </c>
      <c r="B33" s="14" t="inlineStr">
        <is>
          <t>Resumes and learning</t>
        </is>
      </c>
      <c r="C33" s="15" t="inlineStr">
        <is>
          <t>Download as Word or PDF</t>
        </is>
      </c>
      <c r="D33" s="14" t="inlineStr">
        <is>
          <t>Users download their resume in either format.</t>
        </is>
      </c>
      <c r="E33" s="14" t="inlineStr">
        <is>
          <t>Download buttons</t>
        </is>
      </c>
      <c r="F33" s="14" t="inlineStr">
        <is>
          <t>Produce Word and PDF files</t>
        </is>
      </c>
      <c r="G33" s="14" t="inlineStr">
        <is>
          <t>Phase 2: Resumes, learning and own voice</t>
        </is>
      </c>
      <c r="H33" s="13" t="n">
        <v>5</v>
      </c>
      <c r="I33" s="16">
        <f>Settings!$B$5+(H33-1)*7+4</f>
        <v/>
      </c>
      <c r="J33" s="13" t="inlineStr">
        <is>
          <t>Developer B</t>
        </is>
      </c>
      <c r="K33" s="13" t="inlineStr">
        <is>
          <t>Developer B</t>
        </is>
      </c>
      <c r="L33" s="13" t="inlineStr">
        <is>
          <t>Yes</t>
        </is>
      </c>
      <c r="M33" s="14" t="inlineStr">
        <is>
          <t>Nothing built yet</t>
        </is>
      </c>
      <c r="N33" s="14" t="inlineStr">
        <is>
          <t>—</t>
        </is>
      </c>
      <c r="O33" s="17" t="inlineStr">
        <is>
          <t>Not started</t>
        </is>
      </c>
      <c r="P33" s="17" t="inlineStr">
        <is>
          <t>Not started</t>
        </is>
      </c>
      <c r="Q33" s="13">
        <f>IF(AND(O33="Not needed",P33="Not needed"),"Not needed",IF(OR(O33="Stuck",P33="Stuck"),"Stuck",IF(AND(OR(O33="Done",O33="Not needed"),OR(P33="Done",P33="Not needed")),"Done",IF(AND(OR(O33="Not started",O33="Not needed"),OR(P33="Not started",P33="Not needed")),"Not started",IF(AND(OR(O33="Being checked",O33="Done",O33="Not needed"),OR(P33="Being checked",P33="Done",P33="Not needed")),"Being checked","In progress")))))</f>
        <v/>
      </c>
      <c r="R33" s="18">
        <f>IFERROR((IF(OR(O33="Not needed",O33="Stuck"),0,INDEX(Settings!$E$5:$E$8,MATCH(O33,Settings!$D$5:$D$8,0)))+IF(OR(P33="Not needed",P33="Stuck"),0,INDEX(Settings!$E$5:$E$8,MATCH(P33,Settings!$D$5:$D$8,0))))/((O33&lt;&gt;"Not needed")+(P33&lt;&gt;"Not needed")),0)</f>
        <v/>
      </c>
      <c r="S33" s="19" t="n"/>
    </row>
    <row r="34">
      <c r="A34" s="20" t="n">
        <v>30</v>
      </c>
      <c r="B34" s="21" t="inlineStr">
        <is>
          <t>Resumes and learning</t>
        </is>
      </c>
      <c r="C34" s="22" t="inlineStr">
        <is>
          <t>Keep and compare resume versions</t>
        </is>
      </c>
      <c r="D34" s="21" t="inlineStr">
        <is>
          <t>Users can look back at, compare and restore earlier versions.</t>
        </is>
      </c>
      <c r="E34" s="21" t="inlineStr">
        <is>
          <t>Version list, side-by-side view</t>
        </is>
      </c>
      <c r="F34" s="21" t="inlineStr">
        <is>
          <t>Store each version</t>
        </is>
      </c>
      <c r="G34" s="21" t="inlineStr">
        <is>
          <t>Phase 2: Resumes, learning and own voice</t>
        </is>
      </c>
      <c r="H34" s="20" t="n">
        <v>5</v>
      </c>
      <c r="I34" s="23">
        <f>Settings!$B$5+(H34-1)*7+4</f>
        <v/>
      </c>
      <c r="J34" s="20" t="inlineStr">
        <is>
          <t>Developer B</t>
        </is>
      </c>
      <c r="K34" s="20" t="inlineStr">
        <is>
          <t>Developer B</t>
        </is>
      </c>
      <c r="L34" s="20" t="inlineStr">
        <is>
          <t>No</t>
        </is>
      </c>
      <c r="M34" s="21" t="inlineStr">
        <is>
          <t>Counts versions only</t>
        </is>
      </c>
      <c r="N34" s="21" t="inlineStr">
        <is>
          <t>—</t>
        </is>
      </c>
      <c r="O34" s="17" t="inlineStr">
        <is>
          <t>Not started</t>
        </is>
      </c>
      <c r="P34" s="17" t="inlineStr">
        <is>
          <t>Not started</t>
        </is>
      </c>
      <c r="Q34" s="20">
        <f>IF(AND(O34="Not needed",P34="Not needed"),"Not needed",IF(OR(O34="Stuck",P34="Stuck"),"Stuck",IF(AND(OR(O34="Done",O34="Not needed"),OR(P34="Done",P34="Not needed")),"Done",IF(AND(OR(O34="Not started",O34="Not needed"),OR(P34="Not started",P34="Not needed")),"Not started",IF(AND(OR(O34="Being checked",O34="Done",O34="Not needed"),OR(P34="Being checked",P34="Done",P34="Not needed")),"Being checked","In progress")))))</f>
        <v/>
      </c>
      <c r="R34" s="24">
        <f>IFERROR((IF(OR(O34="Not needed",O34="Stuck"),0,INDEX(Settings!$E$5:$E$8,MATCH(O34,Settings!$D$5:$D$8,0)))+IF(OR(P34="Not needed",P34="Stuck"),0,INDEX(Settings!$E$5:$E$8,MATCH(P34,Settings!$D$5:$D$8,0))))/((O34&lt;&gt;"Not needed")+(P34&lt;&gt;"Not needed")),0)</f>
        <v/>
      </c>
      <c r="S34" s="19" t="n"/>
    </row>
    <row r="35">
      <c r="A35" s="13" t="n">
        <v>31</v>
      </c>
      <c r="B35" s="14" t="inlineStr">
        <is>
          <t>Resumes and learning</t>
        </is>
      </c>
      <c r="C35" s="15" t="inlineStr">
        <is>
          <t>Resume score against a job</t>
        </is>
      </c>
      <c r="D35" s="14" t="inlineStr">
        <is>
          <t>Users see how well their resume will do for a job, and which keywords are missing.</t>
        </is>
      </c>
      <c r="E35" s="14" t="inlineStr">
        <is>
          <t>Score card with missing keywords</t>
        </is>
      </c>
      <c r="F35" s="14" t="inlineStr">
        <is>
          <t>Score a resume against a job</t>
        </is>
      </c>
      <c r="G35" s="14" t="inlineStr">
        <is>
          <t>Phase 2: Resumes, learning and own voice</t>
        </is>
      </c>
      <c r="H35" s="13" t="n">
        <v>5</v>
      </c>
      <c r="I35" s="16">
        <f>Settings!$B$5+(H35-1)*7+4</f>
        <v/>
      </c>
      <c r="J35" s="13" t="inlineStr">
        <is>
          <t>Developer B</t>
        </is>
      </c>
      <c r="K35" s="13" t="inlineStr">
        <is>
          <t>Developer A</t>
        </is>
      </c>
      <c r="L35" s="13" t="inlineStr">
        <is>
          <t>Yes</t>
        </is>
      </c>
      <c r="M35" s="14" t="inlineStr">
        <is>
          <t>Nothing built yet</t>
        </is>
      </c>
      <c r="N35" s="14" t="inlineStr">
        <is>
          <t>One commercial checker to compare with</t>
        </is>
      </c>
      <c r="O35" s="17" t="inlineStr">
        <is>
          <t>Not started</t>
        </is>
      </c>
      <c r="P35" s="17" t="inlineStr">
        <is>
          <t>Not started</t>
        </is>
      </c>
      <c r="Q35" s="13">
        <f>IF(AND(O35="Not needed",P35="Not needed"),"Not needed",IF(OR(O35="Stuck",P35="Stuck"),"Stuck",IF(AND(OR(O35="Done",O35="Not needed"),OR(P35="Done",P35="Not needed")),"Done",IF(AND(OR(O35="Not started",O35="Not needed"),OR(P35="Not started",P35="Not needed")),"Not started",IF(AND(OR(O35="Being checked",O35="Done",O35="Not needed"),OR(P35="Being checked",P35="Done",P35="Not needed")),"Being checked","In progress")))))</f>
        <v/>
      </c>
      <c r="R35" s="18">
        <f>IFERROR((IF(OR(O35="Not needed",O35="Stuck"),0,INDEX(Settings!$E$5:$E$8,MATCH(O35,Settings!$D$5:$D$8,0)))+IF(OR(P35="Not needed",P35="Stuck"),0,INDEX(Settings!$E$5:$E$8,MATCH(P35,Settings!$D$5:$D$8,0))))/((O35&lt;&gt;"Not needed")+(P35&lt;&gt;"Not needed")),0)</f>
        <v/>
      </c>
      <c r="S35" s="19" t="n"/>
    </row>
    <row r="36">
      <c r="A36" s="20" t="n">
        <v>32</v>
      </c>
      <c r="B36" s="21" t="inlineStr">
        <is>
          <t>Resumes and learning</t>
        </is>
      </c>
      <c r="C36" s="22" t="inlineStr">
        <is>
          <t>Skills you are missing</t>
        </is>
      </c>
      <c r="D36" s="21" t="inlineStr">
        <is>
          <t>Users see the skills they lack for their target role or a job.</t>
        </is>
      </c>
      <c r="E36" s="21" t="inlineStr">
        <is>
          <t>Gap page</t>
        </is>
      </c>
      <c r="F36" s="21" t="inlineStr">
        <is>
          <t>Find missing skills</t>
        </is>
      </c>
      <c r="G36" s="21" t="inlineStr">
        <is>
          <t>Phase 2: Resumes, learning and own voice</t>
        </is>
      </c>
      <c r="H36" s="20" t="n">
        <v>4</v>
      </c>
      <c r="I36" s="23">
        <f>Settings!$B$5+(H36-1)*7+4</f>
        <v/>
      </c>
      <c r="J36" s="20" t="inlineStr">
        <is>
          <t>Developer B</t>
        </is>
      </c>
      <c r="K36" s="20" t="inlineStr">
        <is>
          <t>Developer A</t>
        </is>
      </c>
      <c r="L36" s="20" t="inlineStr">
        <is>
          <t>Yes</t>
        </is>
      </c>
      <c r="M36" s="21" t="inlineStr">
        <is>
          <t>Works on made-up job data</t>
        </is>
      </c>
      <c r="N36" s="21" t="inlineStr">
        <is>
          <t>—</t>
        </is>
      </c>
      <c r="O36" s="17" t="inlineStr">
        <is>
          <t>Not started</t>
        </is>
      </c>
      <c r="P36" s="17" t="inlineStr">
        <is>
          <t>Not started</t>
        </is>
      </c>
      <c r="Q36" s="20">
        <f>IF(AND(O36="Not needed",P36="Not needed"),"Not needed",IF(OR(O36="Stuck",P36="Stuck"),"Stuck",IF(AND(OR(O36="Done",O36="Not needed"),OR(P36="Done",P36="Not needed")),"Done",IF(AND(OR(O36="Not started",O36="Not needed"),OR(P36="Not started",P36="Not needed")),"Not started",IF(AND(OR(O36="Being checked",O36="Done",O36="Not needed"),OR(P36="Being checked",P36="Done",P36="Not needed")),"Being checked","In progress")))))</f>
        <v/>
      </c>
      <c r="R36" s="24">
        <f>IFERROR((IF(OR(O36="Not needed",O36="Stuck"),0,INDEX(Settings!$E$5:$E$8,MATCH(O36,Settings!$D$5:$D$8,0)))+IF(OR(P36="Not needed",P36="Stuck"),0,INDEX(Settings!$E$5:$E$8,MATCH(P36,Settings!$D$5:$D$8,0))))/((O36&lt;&gt;"Not needed")+(P36&lt;&gt;"Not needed")),0)</f>
        <v/>
      </c>
      <c r="S36" s="19" t="n"/>
    </row>
    <row r="37">
      <c r="A37" s="13" t="n">
        <v>33</v>
      </c>
      <c r="B37" s="14" t="inlineStr">
        <is>
          <t>Resumes and learning</t>
        </is>
      </c>
      <c r="C37" s="15" t="inlineStr">
        <is>
          <t>Experience you are missing</t>
        </is>
      </c>
      <c r="D37" s="14" t="inlineStr">
        <is>
          <t>Users see the experience they lack.</t>
        </is>
      </c>
      <c r="E37" s="14" t="inlineStr">
        <is>
          <t>Experience section on the gap page</t>
        </is>
      </c>
      <c r="F37" s="14" t="inlineStr">
        <is>
          <t>Find missing experience</t>
        </is>
      </c>
      <c r="G37" s="14" t="inlineStr">
        <is>
          <t>Phase 2: Resumes, learning and own voice</t>
        </is>
      </c>
      <c r="H37" s="13" t="n">
        <v>4</v>
      </c>
      <c r="I37" s="16">
        <f>Settings!$B$5+(H37-1)*7+4</f>
        <v/>
      </c>
      <c r="J37" s="13" t="inlineStr">
        <is>
          <t>Developer B</t>
        </is>
      </c>
      <c r="K37" s="13" t="inlineStr">
        <is>
          <t>Developer A</t>
        </is>
      </c>
      <c r="L37" s="13" t="inlineStr">
        <is>
          <t>Yes</t>
        </is>
      </c>
      <c r="M37" s="14" t="inlineStr">
        <is>
          <t>Nothing built yet</t>
        </is>
      </c>
      <c r="N37" s="14" t="inlineStr">
        <is>
          <t>—</t>
        </is>
      </c>
      <c r="O37" s="17" t="inlineStr">
        <is>
          <t>Not started</t>
        </is>
      </c>
      <c r="P37" s="17" t="inlineStr">
        <is>
          <t>Not started</t>
        </is>
      </c>
      <c r="Q37" s="13">
        <f>IF(AND(O37="Not needed",P37="Not needed"),"Not needed",IF(OR(O37="Stuck",P37="Stuck"),"Stuck",IF(AND(OR(O37="Done",O37="Not needed"),OR(P37="Done",P37="Not needed")),"Done",IF(AND(OR(O37="Not started",O37="Not needed"),OR(P37="Not started",P37="Not needed")),"Not started",IF(AND(OR(O37="Being checked",O37="Done",O37="Not needed"),OR(P37="Being checked",P37="Done",P37="Not needed")),"Being checked","In progress")))))</f>
        <v/>
      </c>
      <c r="R37" s="18">
        <f>IFERROR((IF(OR(O37="Not needed",O37="Stuck"),0,INDEX(Settings!$E$5:$E$8,MATCH(O37,Settings!$D$5:$D$8,0)))+IF(OR(P37="Not needed",P37="Stuck"),0,INDEX(Settings!$E$5:$E$8,MATCH(P37,Settings!$D$5:$D$8,0))))/((O37&lt;&gt;"Not needed")+(P37&lt;&gt;"Not needed")),0)</f>
        <v/>
      </c>
      <c r="S37" s="19" t="n"/>
    </row>
    <row r="38">
      <c r="A38" s="20" t="n">
        <v>34</v>
      </c>
      <c r="B38" s="21" t="inlineStr">
        <is>
          <t>Resumes and learning</t>
        </is>
      </c>
      <c r="C38" s="22" t="inlineStr">
        <is>
          <t>Certifications you are missing</t>
        </is>
      </c>
      <c r="D38" s="21" t="inlineStr">
        <is>
          <t>Users see the certifications worth getting.</t>
        </is>
      </c>
      <c r="E38" s="21" t="inlineStr">
        <is>
          <t>Certifications section on the gap page</t>
        </is>
      </c>
      <c r="F38" s="21" t="inlineStr">
        <is>
          <t>Find missing certifications</t>
        </is>
      </c>
      <c r="G38" s="21" t="inlineStr">
        <is>
          <t>Phase 2: Resumes, learning and own voice</t>
        </is>
      </c>
      <c r="H38" s="20" t="n">
        <v>4</v>
      </c>
      <c r="I38" s="23">
        <f>Settings!$B$5+(H38-1)*7+4</f>
        <v/>
      </c>
      <c r="J38" s="20" t="inlineStr">
        <is>
          <t>Developer B</t>
        </is>
      </c>
      <c r="K38" s="20" t="inlineStr">
        <is>
          <t>Developer A</t>
        </is>
      </c>
      <c r="L38" s="20" t="inlineStr">
        <is>
          <t>Yes</t>
        </is>
      </c>
      <c r="M38" s="21" t="inlineStr">
        <is>
          <t>Nothing built yet</t>
        </is>
      </c>
      <c r="N38" s="21" t="inlineStr">
        <is>
          <t>—</t>
        </is>
      </c>
      <c r="O38" s="17" t="inlineStr">
        <is>
          <t>Not started</t>
        </is>
      </c>
      <c r="P38" s="17" t="inlineStr">
        <is>
          <t>Not started</t>
        </is>
      </c>
      <c r="Q38" s="20">
        <f>IF(AND(O38="Not needed",P38="Not needed"),"Not needed",IF(OR(O38="Stuck",P38="Stuck"),"Stuck",IF(AND(OR(O38="Done",O38="Not needed"),OR(P38="Done",P38="Not needed")),"Done",IF(AND(OR(O38="Not started",O38="Not needed"),OR(P38="Not started",P38="Not needed")),"Not started",IF(AND(OR(O38="Being checked",O38="Done",O38="Not needed"),OR(P38="Being checked",P38="Done",P38="Not needed")),"Being checked","In progress")))))</f>
        <v/>
      </c>
      <c r="R38" s="24">
        <f>IFERROR((IF(OR(O38="Not needed",O38="Stuck"),0,INDEX(Settings!$E$5:$E$8,MATCH(O38,Settings!$D$5:$D$8,0)))+IF(OR(P38="Not needed",P38="Stuck"),0,INDEX(Settings!$E$5:$E$8,MATCH(P38,Settings!$D$5:$D$8,0))))/((O38&lt;&gt;"Not needed")+(P38&lt;&gt;"Not needed")),0)</f>
        <v/>
      </c>
      <c r="S38" s="19" t="n"/>
    </row>
    <row r="39">
      <c r="A39" s="13" t="n">
        <v>35</v>
      </c>
      <c r="B39" s="14" t="inlineStr">
        <is>
          <t>Resumes and learning</t>
        </is>
      </c>
      <c r="C39" s="15" t="inlineStr">
        <is>
          <t>Most important gaps first</t>
        </is>
      </c>
      <c r="D39" s="14" t="inlineStr">
        <is>
          <t>Gaps are marked high, medium or low priority.</t>
        </is>
      </c>
      <c r="E39" s="14" t="inlineStr">
        <is>
          <t>Priority labels</t>
        </is>
      </c>
      <c r="F39" s="14" t="inlineStr">
        <is>
          <t>Rank the gaps</t>
        </is>
      </c>
      <c r="G39" s="14" t="inlineStr">
        <is>
          <t>Phase 2: Resumes, learning and own voice</t>
        </is>
      </c>
      <c r="H39" s="13" t="n">
        <v>4</v>
      </c>
      <c r="I39" s="16">
        <f>Settings!$B$5+(H39-1)*7+4</f>
        <v/>
      </c>
      <c r="J39" s="13" t="inlineStr">
        <is>
          <t>Developer B</t>
        </is>
      </c>
      <c r="K39" s="13" t="inlineStr">
        <is>
          <t>Developer A</t>
        </is>
      </c>
      <c r="L39" s="13" t="inlineStr">
        <is>
          <t>Yes</t>
        </is>
      </c>
      <c r="M39" s="14" t="inlineStr">
        <is>
          <t>Ranking works on made-up data</t>
        </is>
      </c>
      <c r="N39" s="14" t="inlineStr">
        <is>
          <t>Expert gap lists to check against</t>
        </is>
      </c>
      <c r="O39" s="17" t="inlineStr">
        <is>
          <t>Not started</t>
        </is>
      </c>
      <c r="P39" s="17" t="inlineStr">
        <is>
          <t>Not started</t>
        </is>
      </c>
      <c r="Q39" s="13">
        <f>IF(AND(O39="Not needed",P39="Not needed"),"Not needed",IF(OR(O39="Stuck",P39="Stuck"),"Stuck",IF(AND(OR(O39="Done",O39="Not needed"),OR(P39="Done",P39="Not needed")),"Done",IF(AND(OR(O39="Not started",O39="Not needed"),OR(P39="Not started",P39="Not needed")),"Not started",IF(AND(OR(O39="Being checked",O39="Done",O39="Not needed"),OR(P39="Being checked",P39="Done",P39="Not needed")),"Being checked","In progress")))))</f>
        <v/>
      </c>
      <c r="R39" s="18">
        <f>IFERROR((IF(OR(O39="Not needed",O39="Stuck"),0,INDEX(Settings!$E$5:$E$8,MATCH(O39,Settings!$D$5:$D$8,0)))+IF(OR(P39="Not needed",P39="Stuck"),0,INDEX(Settings!$E$5:$E$8,MATCH(P39,Settings!$D$5:$D$8,0))))/((O39&lt;&gt;"Not needed")+(P39&lt;&gt;"Not needed")),0)</f>
        <v/>
      </c>
      <c r="S39" s="19" t="n"/>
    </row>
    <row r="40">
      <c r="A40" s="20" t="n">
        <v>36</v>
      </c>
      <c r="B40" s="21" t="inlineStr">
        <is>
          <t>Resumes and learning</t>
        </is>
      </c>
      <c r="C40" s="22" t="inlineStr">
        <is>
          <t>Today's learning plan</t>
        </is>
      </c>
      <c r="D40" s="21" t="inlineStr">
        <is>
          <t>Users see what to learn today.</t>
        </is>
      </c>
      <c r="E40" s="21" t="inlineStr">
        <is>
          <t>Today's plan card</t>
        </is>
      </c>
      <c r="F40" s="21" t="inlineStr">
        <is>
          <t>Build a daily plan from the gaps</t>
        </is>
      </c>
      <c r="G40" s="21" t="inlineStr">
        <is>
          <t>Phase 2: Resumes, learning and own voice</t>
        </is>
      </c>
      <c r="H40" s="20" t="n">
        <v>6</v>
      </c>
      <c r="I40" s="23">
        <f>Settings!$B$5+(H40-1)*7+4</f>
        <v/>
      </c>
      <c r="J40" s="20" t="inlineStr">
        <is>
          <t>Developer B</t>
        </is>
      </c>
      <c r="K40" s="20" t="inlineStr">
        <is>
          <t>Developer A</t>
        </is>
      </c>
      <c r="L40" s="20" t="inlineStr">
        <is>
          <t>Yes</t>
        </is>
      </c>
      <c r="M40" s="21" t="inlineStr">
        <is>
          <t>Nothing built yet</t>
        </is>
      </c>
      <c r="N40" s="21" t="inlineStr">
        <is>
          <t>—</t>
        </is>
      </c>
      <c r="O40" s="17" t="inlineStr">
        <is>
          <t>Not started</t>
        </is>
      </c>
      <c r="P40" s="17" t="inlineStr">
        <is>
          <t>Not started</t>
        </is>
      </c>
      <c r="Q40" s="20">
        <f>IF(AND(O40="Not needed",P40="Not needed"),"Not needed",IF(OR(O40="Stuck",P40="Stuck"),"Stuck",IF(AND(OR(O40="Done",O40="Not needed"),OR(P40="Done",P40="Not needed")),"Done",IF(AND(OR(O40="Not started",O40="Not needed"),OR(P40="Not started",P40="Not needed")),"Not started",IF(AND(OR(O40="Being checked",O40="Done",O40="Not needed"),OR(P40="Being checked",P40="Done",P40="Not needed")),"Being checked","In progress")))))</f>
        <v/>
      </c>
      <c r="R40" s="24">
        <f>IFERROR((IF(OR(O40="Not needed",O40="Stuck"),0,INDEX(Settings!$E$5:$E$8,MATCH(O40,Settings!$D$5:$D$8,0)))+IF(OR(P40="Not needed",P40="Stuck"),0,INDEX(Settings!$E$5:$E$8,MATCH(P40,Settings!$D$5:$D$8,0))))/((O40&lt;&gt;"Not needed")+(P40&lt;&gt;"Not needed")),0)</f>
        <v/>
      </c>
      <c r="S40" s="19" t="n"/>
    </row>
    <row r="41">
      <c r="A41" s="13" t="n">
        <v>37</v>
      </c>
      <c r="B41" s="14" t="inlineStr">
        <is>
          <t>Resumes and learning</t>
        </is>
      </c>
      <c r="C41" s="15" t="inlineStr">
        <is>
          <t>This week's learning plan</t>
        </is>
      </c>
      <c r="D41" s="14" t="inlineStr">
        <is>
          <t>Users see this week's learning plan.</t>
        </is>
      </c>
      <c r="E41" s="14" t="inlineStr">
        <is>
          <t>Weekly plan page</t>
        </is>
      </c>
      <c r="F41" s="14" t="inlineStr">
        <is>
          <t>Build a weekly plan</t>
        </is>
      </c>
      <c r="G41" s="14" t="inlineStr">
        <is>
          <t>Phase 2: Resumes, learning and own voice</t>
        </is>
      </c>
      <c r="H41" s="13" t="n">
        <v>6</v>
      </c>
      <c r="I41" s="16">
        <f>Settings!$B$5+(H41-1)*7+4</f>
        <v/>
      </c>
      <c r="J41" s="13" t="inlineStr">
        <is>
          <t>Developer B</t>
        </is>
      </c>
      <c r="K41" s="13" t="inlineStr">
        <is>
          <t>Developer A</t>
        </is>
      </c>
      <c r="L41" s="13" t="inlineStr">
        <is>
          <t>Yes</t>
        </is>
      </c>
      <c r="M41" s="14" t="inlineStr">
        <is>
          <t>Nothing built yet</t>
        </is>
      </c>
      <c r="N41" s="14" t="inlineStr">
        <is>
          <t>—</t>
        </is>
      </c>
      <c r="O41" s="17" t="inlineStr">
        <is>
          <t>Not started</t>
        </is>
      </c>
      <c r="P41" s="17" t="inlineStr">
        <is>
          <t>Not started</t>
        </is>
      </c>
      <c r="Q41" s="13">
        <f>IF(AND(O41="Not needed",P41="Not needed"),"Not needed",IF(OR(O41="Stuck",P41="Stuck"),"Stuck",IF(AND(OR(O41="Done",O41="Not needed"),OR(P41="Done",P41="Not needed")),"Done",IF(AND(OR(O41="Not started",O41="Not needed"),OR(P41="Not started",P41="Not needed")),"Not started",IF(AND(OR(O41="Being checked",O41="Done",O41="Not needed"),OR(P41="Being checked",P41="Done",P41="Not needed")),"Being checked","In progress")))))</f>
        <v/>
      </c>
      <c r="R41" s="18">
        <f>IFERROR((IF(OR(O41="Not needed",O41="Stuck"),0,INDEX(Settings!$E$5:$E$8,MATCH(O41,Settings!$D$5:$D$8,0)))+IF(OR(P41="Not needed",P41="Stuck"),0,INDEX(Settings!$E$5:$E$8,MATCH(P41,Settings!$D$5:$D$8,0))))/((O41&lt;&gt;"Not needed")+(P41&lt;&gt;"Not needed")),0)</f>
        <v/>
      </c>
      <c r="S41" s="19" t="n"/>
    </row>
    <row r="42">
      <c r="A42" s="20" t="n">
        <v>38</v>
      </c>
      <c r="B42" s="21" t="inlineStr">
        <is>
          <t>Resumes and learning</t>
        </is>
      </c>
      <c r="C42" s="22" t="inlineStr">
        <is>
          <t>Career roadmap</t>
        </is>
      </c>
      <c r="D42" s="21" t="inlineStr">
        <is>
          <t>Users see a long-term path to their target role.</t>
        </is>
      </c>
      <c r="E42" s="21" t="inlineStr">
        <is>
          <t>Roadmap timeline</t>
        </is>
      </c>
      <c r="F42" s="21" t="inlineStr">
        <is>
          <t>Build the roadmap</t>
        </is>
      </c>
      <c r="G42" s="21" t="inlineStr">
        <is>
          <t>Phase 2: Resumes, learning and own voice</t>
        </is>
      </c>
      <c r="H42" s="20" t="n">
        <v>6</v>
      </c>
      <c r="I42" s="23">
        <f>Settings!$B$5+(H42-1)*7+4</f>
        <v/>
      </c>
      <c r="J42" s="20" t="inlineStr">
        <is>
          <t>Developer B</t>
        </is>
      </c>
      <c r="K42" s="20" t="inlineStr">
        <is>
          <t>Developer A</t>
        </is>
      </c>
      <c r="L42" s="20" t="inlineStr">
        <is>
          <t>Yes</t>
        </is>
      </c>
      <c r="M42" s="21" t="inlineStr">
        <is>
          <t>Nothing built yet</t>
        </is>
      </c>
      <c r="N42" s="21" t="inlineStr">
        <is>
          <t>—</t>
        </is>
      </c>
      <c r="O42" s="17" t="inlineStr">
        <is>
          <t>Not started</t>
        </is>
      </c>
      <c r="P42" s="17" t="inlineStr">
        <is>
          <t>Not started</t>
        </is>
      </c>
      <c r="Q42" s="20">
        <f>IF(AND(O42="Not needed",P42="Not needed"),"Not needed",IF(OR(O42="Stuck",P42="Stuck"),"Stuck",IF(AND(OR(O42="Done",O42="Not needed"),OR(P42="Done",P42="Not needed")),"Done",IF(AND(OR(O42="Not started",O42="Not needed"),OR(P42="Not started",P42="Not needed")),"Not started",IF(AND(OR(O42="Being checked",O42="Done",O42="Not needed"),OR(P42="Being checked",P42="Done",P42="Not needed")),"Being checked","In progress")))))</f>
        <v/>
      </c>
      <c r="R42" s="24">
        <f>IFERROR((IF(OR(O42="Not needed",O42="Stuck"),0,INDEX(Settings!$E$5:$E$8,MATCH(O42,Settings!$D$5:$D$8,0)))+IF(OR(P42="Not needed",P42="Stuck"),0,INDEX(Settings!$E$5:$E$8,MATCH(P42,Settings!$D$5:$D$8,0))))/((O42&lt;&gt;"Not needed")+(P42&lt;&gt;"Not needed")),0)</f>
        <v/>
      </c>
      <c r="S42" s="19" t="n"/>
    </row>
    <row r="43">
      <c r="A43" s="13" t="n">
        <v>39</v>
      </c>
      <c r="B43" s="14" t="inlineStr">
        <is>
          <t>Resumes and learning</t>
        </is>
      </c>
      <c r="C43" s="15" t="inlineStr">
        <is>
          <t>Course suggestions</t>
        </is>
      </c>
      <c r="D43" s="14" t="inlineStr">
        <is>
          <t>Users get courses matched to each gap.</t>
        </is>
      </c>
      <c r="E43" s="14" t="inlineStr">
        <is>
          <t>Course list with links</t>
        </is>
      </c>
      <c r="F43" s="14" t="inlineStr">
        <is>
          <t>Match courses to gaps</t>
        </is>
      </c>
      <c r="G43" s="14" t="inlineStr">
        <is>
          <t>Phase 2: Resumes, learning and own voice</t>
        </is>
      </c>
      <c r="H43" s="13" t="n">
        <v>6</v>
      </c>
      <c r="I43" s="16">
        <f>Settings!$B$5+(H43-1)*7+4</f>
        <v/>
      </c>
      <c r="J43" s="13" t="inlineStr">
        <is>
          <t>Developer B</t>
        </is>
      </c>
      <c r="K43" s="13" t="inlineStr">
        <is>
          <t>Developer A</t>
        </is>
      </c>
      <c r="L43" s="13" t="inlineStr">
        <is>
          <t>Yes</t>
        </is>
      </c>
      <c r="M43" s="14" t="inlineStr">
        <is>
          <t>Course names are made up</t>
        </is>
      </c>
      <c r="N43" s="14" t="inlineStr">
        <is>
          <t>List of real courses</t>
        </is>
      </c>
      <c r="O43" s="17" t="inlineStr">
        <is>
          <t>Not started</t>
        </is>
      </c>
      <c r="P43" s="17" t="inlineStr">
        <is>
          <t>Not started</t>
        </is>
      </c>
      <c r="Q43" s="13">
        <f>IF(AND(O43="Not needed",P43="Not needed"),"Not needed",IF(OR(O43="Stuck",P43="Stuck"),"Stuck",IF(AND(OR(O43="Done",O43="Not needed"),OR(P43="Done",P43="Not needed")),"Done",IF(AND(OR(O43="Not started",O43="Not needed"),OR(P43="Not started",P43="Not needed")),"Not started",IF(AND(OR(O43="Being checked",O43="Done",O43="Not needed"),OR(P43="Being checked",P43="Done",P43="Not needed")),"Being checked","In progress")))))</f>
        <v/>
      </c>
      <c r="R43" s="18">
        <f>IFERROR((IF(OR(O43="Not needed",O43="Stuck"),0,INDEX(Settings!$E$5:$E$8,MATCH(O43,Settings!$D$5:$D$8,0)))+IF(OR(P43="Not needed",P43="Stuck"),0,INDEX(Settings!$E$5:$E$8,MATCH(P43,Settings!$D$5:$D$8,0))))/((O43&lt;&gt;"Not needed")+(P43&lt;&gt;"Not needed")),0)</f>
        <v/>
      </c>
      <c r="S43" s="19" t="n"/>
    </row>
    <row r="44">
      <c r="A44" s="20" t="n">
        <v>40</v>
      </c>
      <c r="B44" s="21" t="inlineStr">
        <is>
          <t>Resumes and learning</t>
        </is>
      </c>
      <c r="C44" s="22" t="inlineStr">
        <is>
          <t>Certification plan</t>
        </is>
      </c>
      <c r="D44" s="21" t="inlineStr">
        <is>
          <t>Users see which certifications to get, in what order and by when.</t>
        </is>
      </c>
      <c r="E44" s="21" t="inlineStr">
        <is>
          <t>Certification plan page</t>
        </is>
      </c>
      <c r="F44" s="21" t="inlineStr">
        <is>
          <t>Put certifications in a sensible order</t>
        </is>
      </c>
      <c r="G44" s="21" t="inlineStr">
        <is>
          <t>Phase 2: Resumes, learning and own voice</t>
        </is>
      </c>
      <c r="H44" s="20" t="n">
        <v>6</v>
      </c>
      <c r="I44" s="23">
        <f>Settings!$B$5+(H44-1)*7+4</f>
        <v/>
      </c>
      <c r="J44" s="20" t="inlineStr">
        <is>
          <t>Developer B</t>
        </is>
      </c>
      <c r="K44" s="20" t="inlineStr">
        <is>
          <t>Developer A</t>
        </is>
      </c>
      <c r="L44" s="20" t="inlineStr">
        <is>
          <t>No</t>
        </is>
      </c>
      <c r="M44" s="21" t="inlineStr">
        <is>
          <t>Nothing built yet</t>
        </is>
      </c>
      <c r="N44" s="21" t="inlineStr">
        <is>
          <t>—</t>
        </is>
      </c>
      <c r="O44" s="17" t="inlineStr">
        <is>
          <t>Not started</t>
        </is>
      </c>
      <c r="P44" s="17" t="inlineStr">
        <is>
          <t>Not started</t>
        </is>
      </c>
      <c r="Q44" s="20">
        <f>IF(AND(O44="Not needed",P44="Not needed"),"Not needed",IF(OR(O44="Stuck",P44="Stuck"),"Stuck",IF(AND(OR(O44="Done",O44="Not needed"),OR(P44="Done",P44="Not needed")),"Done",IF(AND(OR(O44="Not started",O44="Not needed"),OR(P44="Not started",P44="Not needed")),"Not started",IF(AND(OR(O44="Being checked",O44="Done",O44="Not needed"),OR(P44="Being checked",P44="Done",P44="Not needed")),"Being checked","In progress")))))</f>
        <v/>
      </c>
      <c r="R44" s="24">
        <f>IFERROR((IF(OR(O44="Not needed",O44="Stuck"),0,INDEX(Settings!$E$5:$E$8,MATCH(O44,Settings!$D$5:$D$8,0)))+IF(OR(P44="Not needed",P44="Stuck"),0,INDEX(Settings!$E$5:$E$8,MATCH(P44,Settings!$D$5:$D$8,0))))/((O44&lt;&gt;"Not needed")+(P44&lt;&gt;"Not needed")),0)</f>
        <v/>
      </c>
      <c r="S44" s="19" t="n"/>
    </row>
    <row r="45">
      <c r="A45" s="13" t="n">
        <v>41</v>
      </c>
      <c r="B45" s="14" t="inlineStr">
        <is>
          <t>Resumes and learning</t>
        </is>
      </c>
      <c r="C45" s="15" t="inlineStr">
        <is>
          <t>Learning progress and streaks</t>
        </is>
      </c>
      <c r="D45" s="14" t="inlineStr">
        <is>
          <t>Users track progress per skill and keep a learning streak.</t>
        </is>
      </c>
      <c r="E45" s="14" t="inlineStr">
        <is>
          <t>Progress bars, streak counter</t>
        </is>
      </c>
      <c r="F45" s="14" t="inlineStr">
        <is>
          <t>Save progress</t>
        </is>
      </c>
      <c r="G45" s="14" t="inlineStr">
        <is>
          <t>Phase 2: Resumes, learning and own voice</t>
        </is>
      </c>
      <c r="H45" s="13" t="n">
        <v>6</v>
      </c>
      <c r="I45" s="16">
        <f>Settings!$B$5+(H45-1)*7+4</f>
        <v/>
      </c>
      <c r="J45" s="13" t="inlineStr">
        <is>
          <t>Developer B</t>
        </is>
      </c>
      <c r="K45" s="13" t="inlineStr">
        <is>
          <t>Developer B</t>
        </is>
      </c>
      <c r="L45" s="13" t="inlineStr">
        <is>
          <t>No</t>
        </is>
      </c>
      <c r="M45" s="14" t="inlineStr">
        <is>
          <t>Progress saved, streak is made up</t>
        </is>
      </c>
      <c r="N45" s="14" t="inlineStr">
        <is>
          <t>—</t>
        </is>
      </c>
      <c r="O45" s="17" t="inlineStr">
        <is>
          <t>Not started</t>
        </is>
      </c>
      <c r="P45" s="17" t="inlineStr">
        <is>
          <t>Not started</t>
        </is>
      </c>
      <c r="Q45" s="13">
        <f>IF(AND(O45="Not needed",P45="Not needed"),"Not needed",IF(OR(O45="Stuck",P45="Stuck"),"Stuck",IF(AND(OR(O45="Done",O45="Not needed"),OR(P45="Done",P45="Not needed")),"Done",IF(AND(OR(O45="Not started",O45="Not needed"),OR(P45="Not started",P45="Not needed")),"Not started",IF(AND(OR(O45="Being checked",O45="Done",O45="Not needed"),OR(P45="Being checked",P45="Done",P45="Not needed")),"Being checked","In progress")))))</f>
        <v/>
      </c>
      <c r="R45" s="18">
        <f>IFERROR((IF(OR(O45="Not needed",O45="Stuck"),0,INDEX(Settings!$E$5:$E$8,MATCH(O45,Settings!$D$5:$D$8,0)))+IF(OR(P45="Not needed",P45="Stuck"),0,INDEX(Settings!$E$5:$E$8,MATCH(P45,Settings!$D$5:$D$8,0))))/((O45&lt;&gt;"Not needed")+(P45&lt;&gt;"Not needed")),0)</f>
        <v/>
      </c>
      <c r="S45" s="19" t="n"/>
    </row>
    <row r="46">
      <c r="A46" s="20" t="n">
        <v>42</v>
      </c>
      <c r="B46" s="21" t="inlineStr">
        <is>
          <t>Resumes and learning</t>
        </is>
      </c>
      <c r="C46" s="22" t="inlineStr">
        <is>
          <t>Overall readiness score</t>
        </is>
      </c>
      <c r="D46" s="21" t="inlineStr">
        <is>
          <t>Users get one score for how ready they are for their next role.</t>
        </is>
      </c>
      <c r="E46" s="21" t="inlineStr">
        <is>
          <t>Readiness ring on the dashboard</t>
        </is>
      </c>
      <c r="F46" s="21" t="inlineStr">
        <is>
          <t>Work out the score using the agreed formula</t>
        </is>
      </c>
      <c r="G46" s="21" t="inlineStr">
        <is>
          <t>Phase 2: Resumes, learning and own voice</t>
        </is>
      </c>
      <c r="H46" s="20" t="n">
        <v>6</v>
      </c>
      <c r="I46" s="23">
        <f>Settings!$B$5+(H46-1)*7+4</f>
        <v/>
      </c>
      <c r="J46" s="20" t="inlineStr">
        <is>
          <t>Developer B</t>
        </is>
      </c>
      <c r="K46" s="20" t="inlineStr">
        <is>
          <t>Developer A</t>
        </is>
      </c>
      <c r="L46" s="20" t="inlineStr">
        <is>
          <t>Yes</t>
        </is>
      </c>
      <c r="M46" s="21" t="inlineStr">
        <is>
          <t>Based only on how complete the profile is</t>
        </is>
      </c>
      <c r="N46" s="21" t="inlineStr">
        <is>
          <t>Agreed readiness formula</t>
        </is>
      </c>
      <c r="O46" s="17" t="inlineStr">
        <is>
          <t>Not started</t>
        </is>
      </c>
      <c r="P46" s="17" t="inlineStr">
        <is>
          <t>Not started</t>
        </is>
      </c>
      <c r="Q46" s="20">
        <f>IF(AND(O46="Not needed",P46="Not needed"),"Not needed",IF(OR(O46="Stuck",P46="Stuck"),"Stuck",IF(AND(OR(O46="Done",O46="Not needed"),OR(P46="Done",P46="Not needed")),"Done",IF(AND(OR(O46="Not started",O46="Not needed"),OR(P46="Not started",P46="Not needed")),"Not started",IF(AND(OR(O46="Being checked",O46="Done",O46="Not needed"),OR(P46="Being checked",P46="Done",P46="Not needed")),"Being checked","In progress")))))</f>
        <v/>
      </c>
      <c r="R46" s="24">
        <f>IFERROR((IF(OR(O46="Not needed",O46="Stuck"),0,INDEX(Settings!$E$5:$E$8,MATCH(O46,Settings!$D$5:$D$8,0)))+IF(OR(P46="Not needed",P46="Stuck"),0,INDEX(Settings!$E$5:$E$8,MATCH(P46,Settings!$D$5:$D$8,0))))/((O46&lt;&gt;"Not needed")+(P46&lt;&gt;"Not needed")),0)</f>
        <v/>
      </c>
      <c r="S46" s="19" t="n"/>
    </row>
    <row r="47">
      <c r="A47" s="13" t="n">
        <v>43</v>
      </c>
      <c r="B47" s="14" t="inlineStr">
        <is>
          <t>Writing in your own voice</t>
        </is>
      </c>
      <c r="C47" s="15" t="inlineStr">
        <is>
          <t>Learn from your public writing</t>
        </is>
      </c>
      <c r="D47" s="14" t="inlineStr">
        <is>
          <t>The app learns how the user writes from their LinkedIn posts, articles and blogs.</t>
        </is>
      </c>
      <c r="E47" s="14" t="inlineStr">
        <is>
          <t>Page to add writing samples</t>
        </is>
      </c>
      <c r="F47" s="14" t="inlineStr">
        <is>
          <t>Collect and clean the samples</t>
        </is>
      </c>
      <c r="G47" s="14" t="inlineStr">
        <is>
          <t>Phase 2: Resumes, learning and own voice</t>
        </is>
      </c>
      <c r="H47" s="13" t="n">
        <v>4</v>
      </c>
      <c r="I47" s="16">
        <f>Settings!$B$5+(H47-1)*7+4</f>
        <v/>
      </c>
      <c r="J47" s="13" t="inlineStr">
        <is>
          <t>Developer B</t>
        </is>
      </c>
      <c r="K47" s="13" t="inlineStr">
        <is>
          <t>Developer A</t>
        </is>
      </c>
      <c r="L47" s="13" t="inlineStr">
        <is>
          <t>Yes</t>
        </is>
      </c>
      <c r="M47" s="14" t="inlineStr">
        <is>
          <t>Nothing built yet</t>
        </is>
      </c>
      <c r="N47" s="14" t="inlineStr">
        <is>
          <t>Writing samples from pilot users</t>
        </is>
      </c>
      <c r="O47" s="17" t="inlineStr">
        <is>
          <t>Not started</t>
        </is>
      </c>
      <c r="P47" s="17" t="inlineStr">
        <is>
          <t>Not started</t>
        </is>
      </c>
      <c r="Q47" s="13">
        <f>IF(AND(O47="Not needed",P47="Not needed"),"Not needed",IF(OR(O47="Stuck",P47="Stuck"),"Stuck",IF(AND(OR(O47="Done",O47="Not needed"),OR(P47="Done",P47="Not needed")),"Done",IF(AND(OR(O47="Not started",O47="Not needed"),OR(P47="Not started",P47="Not needed")),"Not started",IF(AND(OR(O47="Being checked",O47="Done",O47="Not needed"),OR(P47="Being checked",P47="Done",P47="Not needed")),"Being checked","In progress")))))</f>
        <v/>
      </c>
      <c r="R47" s="18">
        <f>IFERROR((IF(OR(O47="Not needed",O47="Stuck"),0,INDEX(Settings!$E$5:$E$8,MATCH(O47,Settings!$D$5:$D$8,0)))+IF(OR(P47="Not needed",P47="Stuck"),0,INDEX(Settings!$E$5:$E$8,MATCH(P47,Settings!$D$5:$D$8,0))))/((O47&lt;&gt;"Not needed")+(P47&lt;&gt;"Not needed")),0)</f>
        <v/>
      </c>
      <c r="S47" s="19" t="n"/>
    </row>
    <row r="48">
      <c r="A48" s="20" t="n">
        <v>44</v>
      </c>
      <c r="B48" s="21" t="inlineStr">
        <is>
          <t>Writing in your own voice</t>
        </is>
      </c>
      <c r="C48" s="22" t="inlineStr">
        <is>
          <t>Learn from your private writing</t>
        </is>
      </c>
      <c r="D48" s="21" t="inlineStr">
        <is>
          <t>With permission, it also learns from resumes, interview answers and work emails.</t>
        </is>
      </c>
      <c r="E48" s="21" t="inlineStr">
        <is>
          <t>Upload private samples</t>
        </is>
      </c>
      <c r="F48" s="21" t="inlineStr">
        <is>
          <t>Collect samples only with permission</t>
        </is>
      </c>
      <c r="G48" s="21" t="inlineStr">
        <is>
          <t>Phase 2: Resumes, learning and own voice</t>
        </is>
      </c>
      <c r="H48" s="20" t="n">
        <v>4</v>
      </c>
      <c r="I48" s="23">
        <f>Settings!$B$5+(H48-1)*7+4</f>
        <v/>
      </c>
      <c r="J48" s="20" t="inlineStr">
        <is>
          <t>Developer B</t>
        </is>
      </c>
      <c r="K48" s="20" t="inlineStr">
        <is>
          <t>Developer A</t>
        </is>
      </c>
      <c r="L48" s="20" t="inlineStr">
        <is>
          <t>Yes</t>
        </is>
      </c>
      <c r="M48" s="21" t="inlineStr">
        <is>
          <t>Nothing built yet</t>
        </is>
      </c>
      <c r="N48" s="21" t="inlineStr">
        <is>
          <t>—</t>
        </is>
      </c>
      <c r="O48" s="17" t="inlineStr">
        <is>
          <t>Not started</t>
        </is>
      </c>
      <c r="P48" s="17" t="inlineStr">
        <is>
          <t>Not started</t>
        </is>
      </c>
      <c r="Q48" s="20">
        <f>IF(AND(O48="Not needed",P48="Not needed"),"Not needed",IF(OR(O48="Stuck",P48="Stuck"),"Stuck",IF(AND(OR(O48="Done",O48="Not needed"),OR(P48="Done",P48="Not needed")),"Done",IF(AND(OR(O48="Not started",O48="Not needed"),OR(P48="Not started",P48="Not needed")),"Not started",IF(AND(OR(O48="Being checked",O48="Done",O48="Not needed"),OR(P48="Being checked",P48="Done",P48="Not needed")),"Being checked","In progress")))))</f>
        <v/>
      </c>
      <c r="R48" s="24">
        <f>IFERROR((IF(OR(O48="Not needed",O48="Stuck"),0,INDEX(Settings!$E$5:$E$8,MATCH(O48,Settings!$D$5:$D$8,0)))+IF(OR(P48="Not needed",P48="Stuck"),0,INDEX(Settings!$E$5:$E$8,MATCH(P48,Settings!$D$5:$D$8,0))))/((O48&lt;&gt;"Not needed")+(P48&lt;&gt;"Not needed")),0)</f>
        <v/>
      </c>
      <c r="S48" s="19" t="n"/>
    </row>
    <row r="49">
      <c r="A49" s="13" t="n">
        <v>45</v>
      </c>
      <c r="B49" s="14" t="inlineStr">
        <is>
          <t>Writing in your own voice</t>
        </is>
      </c>
      <c r="C49" s="15" t="inlineStr">
        <is>
          <t>Your voice profile</t>
        </is>
      </c>
      <c r="D49" s="14" t="inlineStr">
        <is>
          <t>A summary of how the user sounds when they write.</t>
        </is>
      </c>
      <c r="E49" s="14" t="inlineStr">
        <is>
          <t>Profile card</t>
        </is>
      </c>
      <c r="F49" s="14" t="inlineStr">
        <is>
          <t>Create the voice profile</t>
        </is>
      </c>
      <c r="G49" s="14" t="inlineStr">
        <is>
          <t>Phase 2: Resumes, learning and own voice</t>
        </is>
      </c>
      <c r="H49" s="13" t="n">
        <v>4</v>
      </c>
      <c r="I49" s="16">
        <f>Settings!$B$5+(H49-1)*7+4</f>
        <v/>
      </c>
      <c r="J49" s="13" t="inlineStr">
        <is>
          <t>Developer B</t>
        </is>
      </c>
      <c r="K49" s="13" t="inlineStr">
        <is>
          <t>Developer A</t>
        </is>
      </c>
      <c r="L49" s="13" t="inlineStr">
        <is>
          <t>Yes</t>
        </is>
      </c>
      <c r="M49" s="14" t="inlineStr">
        <is>
          <t>Made-up tags only</t>
        </is>
      </c>
      <c r="N49" s="14" t="inlineStr">
        <is>
          <t>—</t>
        </is>
      </c>
      <c r="O49" s="17" t="inlineStr">
        <is>
          <t>Not started</t>
        </is>
      </c>
      <c r="P49" s="17" t="inlineStr">
        <is>
          <t>Not started</t>
        </is>
      </c>
      <c r="Q49" s="13">
        <f>IF(AND(O49="Not needed",P49="Not needed"),"Not needed",IF(OR(O49="Stuck",P49="Stuck"),"Stuck",IF(AND(OR(O49="Done",O49="Not needed"),OR(P49="Done",P49="Not needed")),"Done",IF(AND(OR(O49="Not started",O49="Not needed"),OR(P49="Not started",P49="Not needed")),"Not started",IF(AND(OR(O49="Being checked",O49="Done",O49="Not needed"),OR(P49="Being checked",P49="Done",P49="Not needed")),"Being checked","In progress")))))</f>
        <v/>
      </c>
      <c r="R49" s="18">
        <f>IFERROR((IF(OR(O49="Not needed",O49="Stuck"),0,INDEX(Settings!$E$5:$E$8,MATCH(O49,Settings!$D$5:$D$8,0)))+IF(OR(P49="Not needed",P49="Stuck"),0,INDEX(Settings!$E$5:$E$8,MATCH(P49,Settings!$D$5:$D$8,0))))/((O49&lt;&gt;"Not needed")+(P49&lt;&gt;"Not needed")),0)</f>
        <v/>
      </c>
      <c r="S49" s="19" t="n"/>
    </row>
    <row r="50">
      <c r="A50" s="20" t="n">
        <v>46</v>
      </c>
      <c r="B50" s="21" t="inlineStr">
        <is>
          <t>Writing in your own voice</t>
        </is>
      </c>
      <c r="C50" s="22" t="inlineStr">
        <is>
          <t>Your communication style</t>
        </is>
      </c>
      <c r="D50" s="21" t="inlineStr">
        <is>
          <t>How the user usually structures what they say.</t>
        </is>
      </c>
      <c r="E50" s="21" t="inlineStr">
        <is>
          <t>Profile card</t>
        </is>
      </c>
      <c r="F50" s="21" t="inlineStr">
        <is>
          <t>Create the style profile</t>
        </is>
      </c>
      <c r="G50" s="21" t="inlineStr">
        <is>
          <t>Phase 2: Resumes, learning and own voice</t>
        </is>
      </c>
      <c r="H50" s="20" t="n">
        <v>4</v>
      </c>
      <c r="I50" s="23">
        <f>Settings!$B$5+(H50-1)*7+4</f>
        <v/>
      </c>
      <c r="J50" s="20" t="inlineStr">
        <is>
          <t>Developer B</t>
        </is>
      </c>
      <c r="K50" s="20" t="inlineStr">
        <is>
          <t>Developer A</t>
        </is>
      </c>
      <c r="L50" s="20" t="inlineStr">
        <is>
          <t>Yes</t>
        </is>
      </c>
      <c r="M50" s="21" t="inlineStr">
        <is>
          <t>Nothing built yet</t>
        </is>
      </c>
      <c r="N50" s="21" t="inlineStr">
        <is>
          <t>—</t>
        </is>
      </c>
      <c r="O50" s="17" t="inlineStr">
        <is>
          <t>Not started</t>
        </is>
      </c>
      <c r="P50" s="17" t="inlineStr">
        <is>
          <t>Not started</t>
        </is>
      </c>
      <c r="Q50" s="20">
        <f>IF(AND(O50="Not needed",P50="Not needed"),"Not needed",IF(OR(O50="Stuck",P50="Stuck"),"Stuck",IF(AND(OR(O50="Done",O50="Not needed"),OR(P50="Done",P50="Not needed")),"Done",IF(AND(OR(O50="Not started",O50="Not needed"),OR(P50="Not started",P50="Not needed")),"Not started",IF(AND(OR(O50="Being checked",O50="Done",O50="Not needed"),OR(P50="Being checked",P50="Done",P50="Not needed")),"Being checked","In progress")))))</f>
        <v/>
      </c>
      <c r="R50" s="24">
        <f>IFERROR((IF(OR(O50="Not needed",O50="Stuck"),0,INDEX(Settings!$E$5:$E$8,MATCH(O50,Settings!$D$5:$D$8,0)))+IF(OR(P50="Not needed",P50="Stuck"),0,INDEX(Settings!$E$5:$E$8,MATCH(P50,Settings!$D$5:$D$8,0))))/((O50&lt;&gt;"Not needed")+(P50&lt;&gt;"Not needed")),0)</f>
        <v/>
      </c>
      <c r="S50" s="19" t="n"/>
    </row>
    <row r="51">
      <c r="A51" s="13" t="n">
        <v>47</v>
      </c>
      <c r="B51" s="14" t="inlineStr">
        <is>
          <t>Writing in your own voice</t>
        </is>
      </c>
      <c r="C51" s="15" t="inlineStr">
        <is>
          <t>Your brand personality</t>
        </is>
      </c>
      <c r="D51" s="14" t="inlineStr">
        <is>
          <t>The traits that make up the user's personal brand.</t>
        </is>
      </c>
      <c r="E51" s="14" t="inlineStr">
        <is>
          <t>Profile card</t>
        </is>
      </c>
      <c r="F51" s="14" t="inlineStr">
        <is>
          <t>Create the brand profile</t>
        </is>
      </c>
      <c r="G51" s="14" t="inlineStr">
        <is>
          <t>Phase 2: Resumes, learning and own voice</t>
        </is>
      </c>
      <c r="H51" s="13" t="n">
        <v>4</v>
      </c>
      <c r="I51" s="16">
        <f>Settings!$B$5+(H51-1)*7+4</f>
        <v/>
      </c>
      <c r="J51" s="13" t="inlineStr">
        <is>
          <t>Developer B</t>
        </is>
      </c>
      <c r="K51" s="13" t="inlineStr">
        <is>
          <t>Developer A</t>
        </is>
      </c>
      <c r="L51" s="13" t="inlineStr">
        <is>
          <t>Yes</t>
        </is>
      </c>
      <c r="M51" s="14" t="inlineStr">
        <is>
          <t>Nothing built yet</t>
        </is>
      </c>
      <c r="N51" s="14" t="inlineStr">
        <is>
          <t>—</t>
        </is>
      </c>
      <c r="O51" s="17" t="inlineStr">
        <is>
          <t>Not started</t>
        </is>
      </c>
      <c r="P51" s="17" t="inlineStr">
        <is>
          <t>Not started</t>
        </is>
      </c>
      <c r="Q51" s="13">
        <f>IF(AND(O51="Not needed",P51="Not needed"),"Not needed",IF(OR(O51="Stuck",P51="Stuck"),"Stuck",IF(AND(OR(O51="Done",O51="Not needed"),OR(P51="Done",P51="Not needed")),"Done",IF(AND(OR(O51="Not started",O51="Not needed"),OR(P51="Not started",P51="Not needed")),"Not started",IF(AND(OR(O51="Being checked",O51="Done",O51="Not needed"),OR(P51="Being checked",P51="Done",P51="Not needed")),"Being checked","In progress")))))</f>
        <v/>
      </c>
      <c r="R51" s="18">
        <f>IFERROR((IF(OR(O51="Not needed",O51="Stuck"),0,INDEX(Settings!$E$5:$E$8,MATCH(O51,Settings!$D$5:$D$8,0)))+IF(OR(P51="Not needed",P51="Stuck"),0,INDEX(Settings!$E$5:$E$8,MATCH(P51,Settings!$D$5:$D$8,0))))/((O51&lt;&gt;"Not needed")+(P51&lt;&gt;"Not needed")),0)</f>
        <v/>
      </c>
      <c r="S51" s="19" t="n"/>
    </row>
    <row r="52">
      <c r="A52" s="20" t="n">
        <v>48</v>
      </c>
      <c r="B52" s="21" t="inlineStr">
        <is>
          <t>Writing in your own voice</t>
        </is>
      </c>
      <c r="C52" s="22" t="inlineStr">
        <is>
          <t>Your professional identity</t>
        </is>
      </c>
      <c r="D52" s="21" t="inlineStr">
        <is>
          <t>How the user positions themselves professionally.</t>
        </is>
      </c>
      <c r="E52" s="21" t="inlineStr">
        <is>
          <t>Profile card</t>
        </is>
      </c>
      <c r="F52" s="21" t="inlineStr">
        <is>
          <t>Create the identity profile</t>
        </is>
      </c>
      <c r="G52" s="21" t="inlineStr">
        <is>
          <t>Phase 2: Resumes, learning and own voice</t>
        </is>
      </c>
      <c r="H52" s="20" t="n">
        <v>4</v>
      </c>
      <c r="I52" s="23">
        <f>Settings!$B$5+(H52-1)*7+4</f>
        <v/>
      </c>
      <c r="J52" s="20" t="inlineStr">
        <is>
          <t>Developer B</t>
        </is>
      </c>
      <c r="K52" s="20" t="inlineStr">
        <is>
          <t>Developer A</t>
        </is>
      </c>
      <c r="L52" s="20" t="inlineStr">
        <is>
          <t>Yes</t>
        </is>
      </c>
      <c r="M52" s="21" t="inlineStr">
        <is>
          <t>Nothing built yet</t>
        </is>
      </c>
      <c r="N52" s="21" t="inlineStr">
        <is>
          <t>—</t>
        </is>
      </c>
      <c r="O52" s="17" t="inlineStr">
        <is>
          <t>Not started</t>
        </is>
      </c>
      <c r="P52" s="17" t="inlineStr">
        <is>
          <t>Not started</t>
        </is>
      </c>
      <c r="Q52" s="20">
        <f>IF(AND(O52="Not needed",P52="Not needed"),"Not needed",IF(OR(O52="Stuck",P52="Stuck"),"Stuck",IF(AND(OR(O52="Done",O52="Not needed"),OR(P52="Done",P52="Not needed")),"Done",IF(AND(OR(O52="Not started",O52="Not needed"),OR(P52="Not started",P52="Not needed")),"Not started",IF(AND(OR(O52="Being checked",O52="Done",O52="Not needed"),OR(P52="Being checked",P52="Done",P52="Not needed")),"Being checked","In progress")))))</f>
        <v/>
      </c>
      <c r="R52" s="24">
        <f>IFERROR((IF(OR(O52="Not needed",O52="Stuck"),0,INDEX(Settings!$E$5:$E$8,MATCH(O52,Settings!$D$5:$D$8,0)))+IF(OR(P52="Not needed",P52="Stuck"),0,INDEX(Settings!$E$5:$E$8,MATCH(P52,Settings!$D$5:$D$8,0))))/((O52&lt;&gt;"Not needed")+(P52&lt;&gt;"Not needed")),0)</f>
        <v/>
      </c>
      <c r="S52" s="19" t="n"/>
    </row>
    <row r="53">
      <c r="A53" s="13" t="n">
        <v>49</v>
      </c>
      <c r="B53" s="14" t="inlineStr">
        <is>
          <t>Writing in your own voice</t>
        </is>
      </c>
      <c r="C53" s="15" t="inlineStr">
        <is>
          <t>Check and correct your profiles</t>
        </is>
      </c>
      <c r="D53" s="14" t="inlineStr">
        <is>
          <t>Users can review and fix what the app learned about them.</t>
        </is>
      </c>
      <c r="E53" s="14" t="inlineStr">
        <is>
          <t>Edit and save profiles</t>
        </is>
      </c>
      <c r="F53" s="14" t="inlineStr">
        <is>
          <t>Keep versions of each profile</t>
        </is>
      </c>
      <c r="G53" s="14" t="inlineStr">
        <is>
          <t>Phase 2: Resumes, learning and own voice</t>
        </is>
      </c>
      <c r="H53" s="13" t="n">
        <v>4</v>
      </c>
      <c r="I53" s="16">
        <f>Settings!$B$5+(H53-1)*7+4</f>
        <v/>
      </c>
      <c r="J53" s="13" t="inlineStr">
        <is>
          <t>Developer B</t>
        </is>
      </c>
      <c r="K53" s="13" t="inlineStr">
        <is>
          <t>Developer B</t>
        </is>
      </c>
      <c r="L53" s="13" t="inlineStr">
        <is>
          <t>Yes</t>
        </is>
      </c>
      <c r="M53" s="14" t="inlineStr">
        <is>
          <t>Nothing built yet</t>
        </is>
      </c>
      <c r="N53" s="14" t="inlineStr">
        <is>
          <t>—</t>
        </is>
      </c>
      <c r="O53" s="17" t="inlineStr">
        <is>
          <t>Not started</t>
        </is>
      </c>
      <c r="P53" s="17" t="inlineStr">
        <is>
          <t>Not started</t>
        </is>
      </c>
      <c r="Q53" s="13">
        <f>IF(AND(O53="Not needed",P53="Not needed"),"Not needed",IF(OR(O53="Stuck",P53="Stuck"),"Stuck",IF(AND(OR(O53="Done",O53="Not needed"),OR(P53="Done",P53="Not needed")),"Done",IF(AND(OR(O53="Not started",O53="Not needed"),OR(P53="Not started",P53="Not needed")),"Not started",IF(AND(OR(O53="Being checked",O53="Done",O53="Not needed"),OR(P53="Being checked",P53="Done",P53="Not needed")),"Being checked","In progress")))))</f>
        <v/>
      </c>
      <c r="R53" s="18">
        <f>IFERROR((IF(OR(O53="Not needed",O53="Stuck"),0,INDEX(Settings!$E$5:$E$8,MATCH(O53,Settings!$D$5:$D$8,0)))+IF(OR(P53="Not needed",P53="Stuck"),0,INDEX(Settings!$E$5:$E$8,MATCH(P53,Settings!$D$5:$D$8,0))))/((O53&lt;&gt;"Not needed")+(P53&lt;&gt;"Not needed")),0)</f>
        <v/>
      </c>
      <c r="S53" s="19" t="n"/>
    </row>
    <row r="54">
      <c r="A54" s="20" t="n">
        <v>50</v>
      </c>
      <c r="B54" s="21" t="inlineStr">
        <is>
          <t>Writing in your own voice</t>
        </is>
      </c>
      <c r="C54" s="22" t="inlineStr">
        <is>
          <t>Resume that tells your career story</t>
        </is>
      </c>
      <c r="D54" s="21" t="inlineStr">
        <is>
          <t>Resumes read as one clear career story.</t>
        </is>
      </c>
      <c r="E54" s="21" t="inlineStr">
        <is>
          <t>—</t>
        </is>
      </c>
      <c r="F54" s="21" t="inlineStr">
        <is>
          <t>Build storytelling into resume writing</t>
        </is>
      </c>
      <c r="G54" s="21" t="inlineStr">
        <is>
          <t>Phase 2: Resumes, learning and own voice</t>
        </is>
      </c>
      <c r="H54" s="20" t="n">
        <v>5</v>
      </c>
      <c r="I54" s="23">
        <f>Settings!$B$5+(H54-1)*7+4</f>
        <v/>
      </c>
      <c r="J54" s="20" t="inlineStr">
        <is>
          <t>—</t>
        </is>
      </c>
      <c r="K54" s="20" t="inlineStr">
        <is>
          <t>Developer A</t>
        </is>
      </c>
      <c r="L54" s="20" t="inlineStr">
        <is>
          <t>Yes</t>
        </is>
      </c>
      <c r="M54" s="21" t="inlineStr">
        <is>
          <t>Nothing built yet</t>
        </is>
      </c>
      <c r="N54" s="21" t="inlineStr">
        <is>
          <t>—</t>
        </is>
      </c>
      <c r="O54" s="17" t="inlineStr">
        <is>
          <t>Not needed</t>
        </is>
      </c>
      <c r="P54" s="17" t="inlineStr">
        <is>
          <t>Not started</t>
        </is>
      </c>
      <c r="Q54" s="20">
        <f>IF(AND(O54="Not needed",P54="Not needed"),"Not needed",IF(OR(O54="Stuck",P54="Stuck"),"Stuck",IF(AND(OR(O54="Done",O54="Not needed"),OR(P54="Done",P54="Not needed")),"Done",IF(AND(OR(O54="Not started",O54="Not needed"),OR(P54="Not started",P54="Not needed")),"Not started",IF(AND(OR(O54="Being checked",O54="Done",O54="Not needed"),OR(P54="Being checked",P54="Done",P54="Not needed")),"Being checked","In progress")))))</f>
        <v/>
      </c>
      <c r="R54" s="24">
        <f>IFERROR((IF(OR(O54="Not needed",O54="Stuck"),0,INDEX(Settings!$E$5:$E$8,MATCH(O54,Settings!$D$5:$D$8,0)))+IF(OR(P54="Not needed",P54="Stuck"),0,INDEX(Settings!$E$5:$E$8,MATCH(P54,Settings!$D$5:$D$8,0))))/((O54&lt;&gt;"Not needed")+(P54&lt;&gt;"Not needed")),0)</f>
        <v/>
      </c>
      <c r="S54" s="19" t="n"/>
    </row>
    <row r="55">
      <c r="A55" s="13" t="n">
        <v>51</v>
      </c>
      <c r="B55" s="14" t="inlineStr">
        <is>
          <t>Writing in your own voice</t>
        </is>
      </c>
      <c r="C55" s="15" t="inlineStr">
        <is>
          <t>Achievements with context</t>
        </is>
      </c>
      <c r="D55" s="14" t="inlineStr">
        <is>
          <t>Each achievement says what changed and why it mattered.</t>
        </is>
      </c>
      <c r="E55" s="14" t="inlineStr">
        <is>
          <t>—</t>
        </is>
      </c>
      <c r="F55" s="14" t="inlineStr">
        <is>
          <t>Rewrite achievements with context</t>
        </is>
      </c>
      <c r="G55" s="14" t="inlineStr">
        <is>
          <t>Phase 2: Resumes, learning and own voice</t>
        </is>
      </c>
      <c r="H55" s="13" t="n">
        <v>5</v>
      </c>
      <c r="I55" s="16">
        <f>Settings!$B$5+(H55-1)*7+4</f>
        <v/>
      </c>
      <c r="J55" s="13" t="inlineStr">
        <is>
          <t>—</t>
        </is>
      </c>
      <c r="K55" s="13" t="inlineStr">
        <is>
          <t>Developer A</t>
        </is>
      </c>
      <c r="L55" s="13" t="inlineStr">
        <is>
          <t>Yes</t>
        </is>
      </c>
      <c r="M55" s="14" t="inlineStr">
        <is>
          <t>Nothing built yet</t>
        </is>
      </c>
      <c r="N55" s="14" t="inlineStr">
        <is>
          <t>—</t>
        </is>
      </c>
      <c r="O55" s="17" t="inlineStr">
        <is>
          <t>Not needed</t>
        </is>
      </c>
      <c r="P55" s="17" t="inlineStr">
        <is>
          <t>Not started</t>
        </is>
      </c>
      <c r="Q55" s="13">
        <f>IF(AND(O55="Not needed",P55="Not needed"),"Not needed",IF(OR(O55="Stuck",P55="Stuck"),"Stuck",IF(AND(OR(O55="Done",O55="Not needed"),OR(P55="Done",P55="Not needed")),"Done",IF(AND(OR(O55="Not started",O55="Not needed"),OR(P55="Not started",P55="Not needed")),"Not started",IF(AND(OR(O55="Being checked",O55="Done",O55="Not needed"),OR(P55="Being checked",P55="Done",P55="Not needed")),"Being checked","In progress")))))</f>
        <v/>
      </c>
      <c r="R55" s="18">
        <f>IFERROR((IF(OR(O55="Not needed",O55="Stuck"),0,INDEX(Settings!$E$5:$E$8,MATCH(O55,Settings!$D$5:$D$8,0)))+IF(OR(P55="Not needed",P55="Stuck"),0,INDEX(Settings!$E$5:$E$8,MATCH(P55,Settings!$D$5:$D$8,0))))/((O55&lt;&gt;"Not needed")+(P55&lt;&gt;"Not needed")),0)</f>
        <v/>
      </c>
      <c r="S55" s="19" t="n"/>
    </row>
    <row r="56">
      <c r="A56" s="20" t="n">
        <v>52</v>
      </c>
      <c r="B56" s="21" t="inlineStr">
        <is>
          <t>Writing in your own voice</t>
        </is>
      </c>
      <c r="C56" s="22" t="inlineStr">
        <is>
          <t>Keep your leadership tone</t>
        </is>
      </c>
      <c r="D56" s="21" t="inlineStr">
        <is>
          <t>Senior people keep their leadership voice in what is written.</t>
        </is>
      </c>
      <c r="E56" s="21" t="inlineStr">
        <is>
          <t>—</t>
        </is>
      </c>
      <c r="F56" s="21" t="inlineStr">
        <is>
          <t>Keep tone consistent with the voice profile</t>
        </is>
      </c>
      <c r="G56" s="21" t="inlineStr">
        <is>
          <t>Phase 2: Resumes, learning and own voice</t>
        </is>
      </c>
      <c r="H56" s="20" t="n">
        <v>5</v>
      </c>
      <c r="I56" s="23">
        <f>Settings!$B$5+(H56-1)*7+4</f>
        <v/>
      </c>
      <c r="J56" s="20" t="inlineStr">
        <is>
          <t>—</t>
        </is>
      </c>
      <c r="K56" s="20" t="inlineStr">
        <is>
          <t>Developer A</t>
        </is>
      </c>
      <c r="L56" s="20" t="inlineStr">
        <is>
          <t>Yes</t>
        </is>
      </c>
      <c r="M56" s="21" t="inlineStr">
        <is>
          <t>Nothing built yet</t>
        </is>
      </c>
      <c r="N56" s="21" t="inlineStr">
        <is>
          <t>—</t>
        </is>
      </c>
      <c r="O56" s="17" t="inlineStr">
        <is>
          <t>Not needed</t>
        </is>
      </c>
      <c r="P56" s="17" t="inlineStr">
        <is>
          <t>Not started</t>
        </is>
      </c>
      <c r="Q56" s="20">
        <f>IF(AND(O56="Not needed",P56="Not needed"),"Not needed",IF(OR(O56="Stuck",P56="Stuck"),"Stuck",IF(AND(OR(O56="Done",O56="Not needed"),OR(P56="Done",P56="Not needed")),"Done",IF(AND(OR(O56="Not started",O56="Not needed"),OR(P56="Not started",P56="Not needed")),"Not started",IF(AND(OR(O56="Being checked",O56="Done",O56="Not needed"),OR(P56="Being checked",P56="Done",P56="Not needed")),"Being checked","In progress")))))</f>
        <v/>
      </c>
      <c r="R56" s="24">
        <f>IFERROR((IF(OR(O56="Not needed",O56="Stuck"),0,INDEX(Settings!$E$5:$E$8,MATCH(O56,Settings!$D$5:$D$8,0)))+IF(OR(P56="Not needed",P56="Stuck"),0,INDEX(Settings!$E$5:$E$8,MATCH(P56,Settings!$D$5:$D$8,0))))/((O56&lt;&gt;"Not needed")+(P56&lt;&gt;"Not needed")),0)</f>
        <v/>
      </c>
      <c r="S56" s="19" t="n"/>
    </row>
    <row r="57">
      <c r="A57" s="13" t="n">
        <v>53</v>
      </c>
      <c r="B57" s="14" t="inlineStr">
        <is>
          <t>Writing in your own voice</t>
        </is>
      </c>
      <c r="C57" s="15" t="inlineStr">
        <is>
          <t>Use your industry's language</t>
        </is>
      </c>
      <c r="D57" s="14" t="inlineStr">
        <is>
          <t>Wording fits the user's industry.</t>
        </is>
      </c>
      <c r="E57" s="14" t="inlineStr">
        <is>
          <t>—</t>
        </is>
      </c>
      <c r="F57" s="14" t="inlineStr">
        <is>
          <t>Use industry-specific wording</t>
        </is>
      </c>
      <c r="G57" s="14" t="inlineStr">
        <is>
          <t>Phase 2: Resumes, learning and own voice</t>
        </is>
      </c>
      <c r="H57" s="13" t="n">
        <v>5</v>
      </c>
      <c r="I57" s="16">
        <f>Settings!$B$5+(H57-1)*7+4</f>
        <v/>
      </c>
      <c r="J57" s="13" t="inlineStr">
        <is>
          <t>—</t>
        </is>
      </c>
      <c r="K57" s="13" t="inlineStr">
        <is>
          <t>Developer A</t>
        </is>
      </c>
      <c r="L57" s="13" t="inlineStr">
        <is>
          <t>No</t>
        </is>
      </c>
      <c r="M57" s="14" t="inlineStr">
        <is>
          <t>Nothing built yet</t>
        </is>
      </c>
      <c r="N57" s="14" t="inlineStr">
        <is>
          <t>—</t>
        </is>
      </c>
      <c r="O57" s="17" t="inlineStr">
        <is>
          <t>Not needed</t>
        </is>
      </c>
      <c r="P57" s="17" t="inlineStr">
        <is>
          <t>Not started</t>
        </is>
      </c>
      <c r="Q57" s="13">
        <f>IF(AND(O57="Not needed",P57="Not needed"),"Not needed",IF(OR(O57="Stuck",P57="Stuck"),"Stuck",IF(AND(OR(O57="Done",O57="Not needed"),OR(P57="Done",P57="Not needed")),"Done",IF(AND(OR(O57="Not started",O57="Not needed"),OR(P57="Not started",P57="Not needed")),"Not started",IF(AND(OR(O57="Being checked",O57="Done",O57="Not needed"),OR(P57="Being checked",P57="Done",P57="Not needed")),"Being checked","In progress")))))</f>
        <v/>
      </c>
      <c r="R57" s="18">
        <f>IFERROR((IF(OR(O57="Not needed",O57="Stuck"),0,INDEX(Settings!$E$5:$E$8,MATCH(O57,Settings!$D$5:$D$8,0)))+IF(OR(P57="Not needed",P57="Stuck"),0,INDEX(Settings!$E$5:$E$8,MATCH(P57,Settings!$D$5:$D$8,0))))/((O57&lt;&gt;"Not needed")+(P57&lt;&gt;"Not needed")),0)</f>
        <v/>
      </c>
      <c r="S57" s="19" t="n"/>
    </row>
    <row r="58">
      <c r="A58" s="20" t="n">
        <v>54</v>
      </c>
      <c r="B58" s="21" t="inlineStr">
        <is>
          <t>Writing in your own voice</t>
        </is>
      </c>
      <c r="C58" s="22" t="inlineStr">
        <is>
          <t>Present you as you really are</t>
        </is>
      </c>
      <c r="D58" s="21" t="inlineStr">
        <is>
          <t>The resume positions the user truthfully, in their own terms.</t>
        </is>
      </c>
      <c r="E58" s="21" t="inlineStr">
        <is>
          <t>—</t>
        </is>
      </c>
      <c r="F58" s="21" t="inlineStr">
        <is>
          <t>Use the identity profile when writing</t>
        </is>
      </c>
      <c r="G58" s="21" t="inlineStr">
        <is>
          <t>Phase 2: Resumes, learning and own voice</t>
        </is>
      </c>
      <c r="H58" s="20" t="n">
        <v>5</v>
      </c>
      <c r="I58" s="23">
        <f>Settings!$B$5+(H58-1)*7+4</f>
        <v/>
      </c>
      <c r="J58" s="20" t="inlineStr">
        <is>
          <t>—</t>
        </is>
      </c>
      <c r="K58" s="20" t="inlineStr">
        <is>
          <t>Developer A</t>
        </is>
      </c>
      <c r="L58" s="20" t="inlineStr">
        <is>
          <t>No</t>
        </is>
      </c>
      <c r="M58" s="21" t="inlineStr">
        <is>
          <t>Nothing built yet</t>
        </is>
      </c>
      <c r="N58" s="21" t="inlineStr">
        <is>
          <t>—</t>
        </is>
      </c>
      <c r="O58" s="17" t="inlineStr">
        <is>
          <t>Not needed</t>
        </is>
      </c>
      <c r="P58" s="17" t="inlineStr">
        <is>
          <t>Not started</t>
        </is>
      </c>
      <c r="Q58" s="20">
        <f>IF(AND(O58="Not needed",P58="Not needed"),"Not needed",IF(OR(O58="Stuck",P58="Stuck"),"Stuck",IF(AND(OR(O58="Done",O58="Not needed"),OR(P58="Done",P58="Not needed")),"Done",IF(AND(OR(O58="Not started",O58="Not needed"),OR(P58="Not started",P58="Not needed")),"Not started",IF(AND(OR(O58="Being checked",O58="Done",O58="Not needed"),OR(P58="Being checked",P58="Done",P58="Not needed")),"Being checked","In progress")))))</f>
        <v/>
      </c>
      <c r="R58" s="24">
        <f>IFERROR((IF(OR(O58="Not needed",O58="Stuck"),0,INDEX(Settings!$E$5:$E$8,MATCH(O58,Settings!$D$5:$D$8,0)))+IF(OR(P58="Not needed",P58="Stuck"),0,INDEX(Settings!$E$5:$E$8,MATCH(P58,Settings!$D$5:$D$8,0))))/((O58&lt;&gt;"Not needed")+(P58&lt;&gt;"Not needed")),0)</f>
        <v/>
      </c>
      <c r="S58" s="19" t="n"/>
    </row>
    <row r="59">
      <c r="A59" s="13" t="n">
        <v>55</v>
      </c>
      <c r="B59" s="14" t="inlineStr">
        <is>
          <t>Writing in your own voice</t>
        </is>
      </c>
      <c r="C59" s="15" t="inlineStr">
        <is>
          <t>Catch text that sounds like AI</t>
        </is>
      </c>
      <c r="D59" s="14" t="inlineStr">
        <is>
          <t>Generic, robotic phrasing is flagged before the user sees it.</t>
        </is>
      </c>
      <c r="E59" s="14" t="inlineStr">
        <is>
          <t>Warning on flagged text</t>
        </is>
      </c>
      <c r="F59" s="14" t="inlineStr">
        <is>
          <t>Detect generic phrasing, check consistency</t>
        </is>
      </c>
      <c r="G59" s="14" t="inlineStr">
        <is>
          <t>Phase 2: Resumes, learning and own voice</t>
        </is>
      </c>
      <c r="H59" s="13" t="n">
        <v>6</v>
      </c>
      <c r="I59" s="16">
        <f>Settings!$B$5+(H59-1)*7+4</f>
        <v/>
      </c>
      <c r="J59" s="13" t="inlineStr">
        <is>
          <t>Developer B</t>
        </is>
      </c>
      <c r="K59" s="13" t="inlineStr">
        <is>
          <t>Developer A</t>
        </is>
      </c>
      <c r="L59" s="13" t="inlineStr">
        <is>
          <t>Yes</t>
        </is>
      </c>
      <c r="M59" s="14" t="inlineStr">
        <is>
          <t>Nothing built yet</t>
        </is>
      </c>
      <c r="N59" s="14" t="inlineStr">
        <is>
          <t>—</t>
        </is>
      </c>
      <c r="O59" s="17" t="inlineStr">
        <is>
          <t>Not started</t>
        </is>
      </c>
      <c r="P59" s="17" t="inlineStr">
        <is>
          <t>Not started</t>
        </is>
      </c>
      <c r="Q59" s="13">
        <f>IF(AND(O59="Not needed",P59="Not needed"),"Not needed",IF(OR(O59="Stuck",P59="Stuck"),"Stuck",IF(AND(OR(O59="Done",O59="Not needed"),OR(P59="Done",P59="Not needed")),"Done",IF(AND(OR(O59="Not started",O59="Not needed"),OR(P59="Not started",P59="Not needed")),"Not started",IF(AND(OR(O59="Being checked",O59="Done",O59="Not needed"),OR(P59="Being checked",P59="Done",P59="Not needed")),"Being checked","In progress")))))</f>
        <v/>
      </c>
      <c r="R59" s="18">
        <f>IFERROR((IF(OR(O59="Not needed",O59="Stuck"),0,INDEX(Settings!$E$5:$E$8,MATCH(O59,Settings!$D$5:$D$8,0)))+IF(OR(P59="Not needed",P59="Stuck"),0,INDEX(Settings!$E$5:$E$8,MATCH(P59,Settings!$D$5:$D$8,0))))/((O59&lt;&gt;"Not needed")+(P59&lt;&gt;"Not needed")),0)</f>
        <v/>
      </c>
      <c r="S59" s="19" t="n"/>
    </row>
    <row r="60">
      <c r="A60" s="20" t="n">
        <v>56</v>
      </c>
      <c r="B60" s="21" t="inlineStr">
        <is>
          <t>Writing in your own voice</t>
        </is>
      </c>
      <c r="C60" s="22" t="inlineStr">
        <is>
          <t>Download or delete your writing samples</t>
        </is>
      </c>
      <c r="D60" s="21" t="inlineStr">
        <is>
          <t>Users can take their samples away or delete them for good.</t>
        </is>
      </c>
      <c r="E60" s="21" t="inlineStr">
        <is>
          <t>Download and delete buttons</t>
        </is>
      </c>
      <c r="F60" s="21" t="inlineStr">
        <is>
          <t>Export and permanently delete samples</t>
        </is>
      </c>
      <c r="G60" s="21" t="inlineStr">
        <is>
          <t>Phase 2: Resumes, learning and own voice</t>
        </is>
      </c>
      <c r="H60" s="20" t="n">
        <v>6</v>
      </c>
      <c r="I60" s="23">
        <f>Settings!$B$5+(H60-1)*7+4</f>
        <v/>
      </c>
      <c r="J60" s="20" t="inlineStr">
        <is>
          <t>Developer B</t>
        </is>
      </c>
      <c r="K60" s="20" t="inlineStr">
        <is>
          <t>Developer B</t>
        </is>
      </c>
      <c r="L60" s="20" t="inlineStr">
        <is>
          <t>Yes</t>
        </is>
      </c>
      <c r="M60" s="21" t="inlineStr">
        <is>
          <t>Nothing built yet</t>
        </is>
      </c>
      <c r="N60" s="21" t="inlineStr">
        <is>
          <t>—</t>
        </is>
      </c>
      <c r="O60" s="17" t="inlineStr">
        <is>
          <t>Not started</t>
        </is>
      </c>
      <c r="P60" s="17" t="inlineStr">
        <is>
          <t>Not started</t>
        </is>
      </c>
      <c r="Q60" s="20">
        <f>IF(AND(O60="Not needed",P60="Not needed"),"Not needed",IF(OR(O60="Stuck",P60="Stuck"),"Stuck",IF(AND(OR(O60="Done",O60="Not needed"),OR(P60="Done",P60="Not needed")),"Done",IF(AND(OR(O60="Not started",O60="Not needed"),OR(P60="Not started",P60="Not needed")),"Not started",IF(AND(OR(O60="Being checked",O60="Done",O60="Not needed"),OR(P60="Being checked",P60="Done",P60="Not needed")),"Being checked","In progress")))))</f>
        <v/>
      </c>
      <c r="R60" s="24">
        <f>IFERROR((IF(OR(O60="Not needed",O60="Stuck"),0,INDEX(Settings!$E$5:$E$8,MATCH(O60,Settings!$D$5:$D$8,0)))+IF(OR(P60="Not needed",P60="Stuck"),0,INDEX(Settings!$E$5:$E$8,MATCH(P60,Settings!$D$5:$D$8,0))))/((O60&lt;&gt;"Not needed")+(P60&lt;&gt;"Not needed")),0)</f>
        <v/>
      </c>
      <c r="S60" s="19" t="n"/>
    </row>
    <row r="61">
      <c r="A61" s="13" t="n">
        <v>57</v>
      </c>
      <c r="B61" s="14" t="inlineStr">
        <is>
          <t>Writing in your own voice</t>
        </is>
      </c>
      <c r="C61" s="15" t="inlineStr">
        <is>
          <t>Prove the voice matching works</t>
        </is>
      </c>
      <c r="D61" s="14" t="inlineStr">
        <is>
          <t>Pilot users compare two unlabelled resumes and pick the better one.</t>
        </is>
      </c>
      <c r="E61" s="14" t="inlineStr">
        <is>
          <t>Side-by-side comparison page</t>
        </is>
      </c>
      <c r="F61" s="14" t="inlineStr">
        <is>
          <t>Record and summarise the choices</t>
        </is>
      </c>
      <c r="G61" s="14" t="inlineStr">
        <is>
          <t>Phase 2: Resumes, learning and own voice</t>
        </is>
      </c>
      <c r="H61" s="13" t="n">
        <v>6</v>
      </c>
      <c r="I61" s="16">
        <f>Settings!$B$5+(H61-1)*7+4</f>
        <v/>
      </c>
      <c r="J61" s="13" t="inlineStr">
        <is>
          <t>Developer B</t>
        </is>
      </c>
      <c r="K61" s="13" t="inlineStr">
        <is>
          <t>Developer A</t>
        </is>
      </c>
      <c r="L61" s="13" t="inlineStr">
        <is>
          <t>Yes</t>
        </is>
      </c>
      <c r="M61" s="14" t="inlineStr">
        <is>
          <t>Nothing built yet</t>
        </is>
      </c>
      <c r="N61" s="14" t="inlineStr">
        <is>
          <t>Pilot users' time</t>
        </is>
      </c>
      <c r="O61" s="17" t="inlineStr">
        <is>
          <t>Not started</t>
        </is>
      </c>
      <c r="P61" s="17" t="inlineStr">
        <is>
          <t>Not started</t>
        </is>
      </c>
      <c r="Q61" s="13">
        <f>IF(AND(O61="Not needed",P61="Not needed"),"Not needed",IF(OR(O61="Stuck",P61="Stuck"),"Stuck",IF(AND(OR(O61="Done",O61="Not needed"),OR(P61="Done",P61="Not needed")),"Done",IF(AND(OR(O61="Not started",O61="Not needed"),OR(P61="Not started",P61="Not needed")),"Not started",IF(AND(OR(O61="Being checked",O61="Done",O61="Not needed"),OR(P61="Being checked",P61="Done",P61="Not needed")),"Being checked","In progress")))))</f>
        <v/>
      </c>
      <c r="R61" s="18">
        <f>IFERROR((IF(OR(O61="Not needed",O61="Stuck"),0,INDEX(Settings!$E$5:$E$8,MATCH(O61,Settings!$D$5:$D$8,0)))+IF(OR(P61="Not needed",P61="Stuck"),0,INDEX(Settings!$E$5:$E$8,MATCH(P61,Settings!$D$5:$D$8,0))))/((O61&lt;&gt;"Not needed")+(P61&lt;&gt;"Not needed")),0)</f>
        <v/>
      </c>
      <c r="S61" s="19" t="n"/>
    </row>
    <row r="62">
      <c r="A62" s="20" t="n">
        <v>58</v>
      </c>
      <c r="B62" s="21" t="inlineStr">
        <is>
          <t>Interview practice</t>
        </is>
      </c>
      <c r="C62" s="22" t="inlineStr">
        <is>
          <t>Practise a production outage</t>
        </is>
      </c>
      <c r="D62" s="21" t="inlineStr">
        <is>
          <t>Users handle a realistic system-failure scenario.</t>
        </is>
      </c>
      <c r="E62" s="21" t="inlineStr">
        <is>
          <t>Practice screen</t>
        </is>
      </c>
      <c r="F62" s="21" t="inlineStr">
        <is>
          <t>Practice engine plus starter scenarios</t>
        </is>
      </c>
      <c r="G62" s="21" t="inlineStr">
        <is>
          <t>Phase 3: Interview practice and LinkedIn</t>
        </is>
      </c>
      <c r="H62" s="20" t="n">
        <v>7</v>
      </c>
      <c r="I62" s="23">
        <f>Settings!$B$5+(H62-1)*7+4</f>
        <v/>
      </c>
      <c r="J62" s="20" t="inlineStr">
        <is>
          <t>Developer B</t>
        </is>
      </c>
      <c r="K62" s="20" t="inlineStr">
        <is>
          <t>Developer A</t>
        </is>
      </c>
      <c r="L62" s="20" t="inlineStr">
        <is>
          <t>Yes</t>
        </is>
      </c>
      <c r="M62" s="21" t="inlineStr">
        <is>
          <t>Fixed sample scenarios</t>
        </is>
      </c>
      <c r="N62" s="21" t="inlineStr">
        <is>
          <t>Scenarios approved by client experts</t>
        </is>
      </c>
      <c r="O62" s="17" t="inlineStr">
        <is>
          <t>Not started</t>
        </is>
      </c>
      <c r="P62" s="17" t="inlineStr">
        <is>
          <t>Not started</t>
        </is>
      </c>
      <c r="Q62" s="20">
        <f>IF(AND(O62="Not needed",P62="Not needed"),"Not needed",IF(OR(O62="Stuck",P62="Stuck"),"Stuck",IF(AND(OR(O62="Done",O62="Not needed"),OR(P62="Done",P62="Not needed")),"Done",IF(AND(OR(O62="Not started",O62="Not needed"),OR(P62="Not started",P62="Not needed")),"Not started",IF(AND(OR(O62="Being checked",O62="Done",O62="Not needed"),OR(P62="Being checked",P62="Done",P62="Not needed")),"Being checked","In progress")))))</f>
        <v/>
      </c>
      <c r="R62" s="24">
        <f>IFERROR((IF(OR(O62="Not needed",O62="Stuck"),0,INDEX(Settings!$E$5:$E$8,MATCH(O62,Settings!$D$5:$D$8,0)))+IF(OR(P62="Not needed",P62="Stuck"),0,INDEX(Settings!$E$5:$E$8,MATCH(P62,Settings!$D$5:$D$8,0))))/((O62&lt;&gt;"Not needed")+(P62&lt;&gt;"Not needed")),0)</f>
        <v/>
      </c>
      <c r="S62" s="19" t="n"/>
    </row>
    <row r="63">
      <c r="A63" s="13" t="n">
        <v>59</v>
      </c>
      <c r="B63" s="14" t="inlineStr">
        <is>
          <t>Interview practice</t>
        </is>
      </c>
      <c r="C63" s="15" t="inlineStr">
        <is>
          <t>Practise a cloud design challenge</t>
        </is>
      </c>
      <c r="D63" s="14" t="inlineStr">
        <is>
          <t>Users design a cloud system under questioning.</t>
        </is>
      </c>
      <c r="E63" s="14" t="inlineStr">
        <is>
          <t>Practice screen</t>
        </is>
      </c>
      <c r="F63" s="14" t="inlineStr">
        <is>
          <t>Scenarios</t>
        </is>
      </c>
      <c r="G63" s="14" t="inlineStr">
        <is>
          <t>Phase 3: Interview practice and LinkedIn</t>
        </is>
      </c>
      <c r="H63" s="13" t="n">
        <v>7</v>
      </c>
      <c r="I63" s="16">
        <f>Settings!$B$5+(H63-1)*7+4</f>
        <v/>
      </c>
      <c r="J63" s="13" t="inlineStr">
        <is>
          <t>Developer B</t>
        </is>
      </c>
      <c r="K63" s="13" t="inlineStr">
        <is>
          <t>Developer A</t>
        </is>
      </c>
      <c r="L63" s="13" t="inlineStr">
        <is>
          <t>Yes</t>
        </is>
      </c>
      <c r="M63" s="14" t="inlineStr">
        <is>
          <t>Fixed sample scenarios</t>
        </is>
      </c>
      <c r="N63" s="14" t="inlineStr">
        <is>
          <t>Scenarios approved by client experts</t>
        </is>
      </c>
      <c r="O63" s="17" t="inlineStr">
        <is>
          <t>Not started</t>
        </is>
      </c>
      <c r="P63" s="17" t="inlineStr">
        <is>
          <t>Not started</t>
        </is>
      </c>
      <c r="Q63" s="13">
        <f>IF(AND(O63="Not needed",P63="Not needed"),"Not needed",IF(OR(O63="Stuck",P63="Stuck"),"Stuck",IF(AND(OR(O63="Done",O63="Not needed"),OR(P63="Done",P63="Not needed")),"Done",IF(AND(OR(O63="Not started",O63="Not needed"),OR(P63="Not started",P63="Not needed")),"Not started",IF(AND(OR(O63="Being checked",O63="Done",O63="Not needed"),OR(P63="Being checked",P63="Done",P63="Not needed")),"Being checked","In progress")))))</f>
        <v/>
      </c>
      <c r="R63" s="18">
        <f>IFERROR((IF(OR(O63="Not needed",O63="Stuck"),0,INDEX(Settings!$E$5:$E$8,MATCH(O63,Settings!$D$5:$D$8,0)))+IF(OR(P63="Not needed",P63="Stuck"),0,INDEX(Settings!$E$5:$E$8,MATCH(P63,Settings!$D$5:$D$8,0))))/((O63&lt;&gt;"Not needed")+(P63&lt;&gt;"Not needed")),0)</f>
        <v/>
      </c>
      <c r="S63" s="19" t="n"/>
    </row>
    <row r="64">
      <c r="A64" s="20" t="n">
        <v>60</v>
      </c>
      <c r="B64" s="21" t="inlineStr">
        <is>
          <t>Interview practice</t>
        </is>
      </c>
      <c r="C64" s="22" t="inlineStr">
        <is>
          <t>Practise a leadership situation</t>
        </is>
      </c>
      <c r="D64" s="21" t="inlineStr">
        <is>
          <t>Users handle people and decision scenarios.</t>
        </is>
      </c>
      <c r="E64" s="21" t="inlineStr">
        <is>
          <t>Practice screen</t>
        </is>
      </c>
      <c r="F64" s="21" t="inlineStr">
        <is>
          <t>Scenarios</t>
        </is>
      </c>
      <c r="G64" s="21" t="inlineStr">
        <is>
          <t>Phase 3: Interview practice and LinkedIn</t>
        </is>
      </c>
      <c r="H64" s="20" t="n">
        <v>7</v>
      </c>
      <c r="I64" s="23">
        <f>Settings!$B$5+(H64-1)*7+4</f>
        <v/>
      </c>
      <c r="J64" s="20" t="inlineStr">
        <is>
          <t>Developer B</t>
        </is>
      </c>
      <c r="K64" s="20" t="inlineStr">
        <is>
          <t>Developer A</t>
        </is>
      </c>
      <c r="L64" s="20" t="inlineStr">
        <is>
          <t>Yes</t>
        </is>
      </c>
      <c r="M64" s="21" t="inlineStr">
        <is>
          <t>Nothing built yet</t>
        </is>
      </c>
      <c r="N64" s="21" t="inlineStr">
        <is>
          <t>Scenarios approved by client experts</t>
        </is>
      </c>
      <c r="O64" s="17" t="inlineStr">
        <is>
          <t>Not started</t>
        </is>
      </c>
      <c r="P64" s="17" t="inlineStr">
        <is>
          <t>Not started</t>
        </is>
      </c>
      <c r="Q64" s="20">
        <f>IF(AND(O64="Not needed",P64="Not needed"),"Not needed",IF(OR(O64="Stuck",P64="Stuck"),"Stuck",IF(AND(OR(O64="Done",O64="Not needed"),OR(P64="Done",P64="Not needed")),"Done",IF(AND(OR(O64="Not started",O64="Not needed"),OR(P64="Not started",P64="Not needed")),"Not started",IF(AND(OR(O64="Being checked",O64="Done",O64="Not needed"),OR(P64="Being checked",P64="Done",P64="Not needed")),"Being checked","In progress")))))</f>
        <v/>
      </c>
      <c r="R64" s="24">
        <f>IFERROR((IF(OR(O64="Not needed",O64="Stuck"),0,INDEX(Settings!$E$5:$E$8,MATCH(O64,Settings!$D$5:$D$8,0)))+IF(OR(P64="Not needed",P64="Stuck"),0,INDEX(Settings!$E$5:$E$8,MATCH(P64,Settings!$D$5:$D$8,0))))/((O64&lt;&gt;"Not needed")+(P64&lt;&gt;"Not needed")),0)</f>
        <v/>
      </c>
      <c r="S64" s="19" t="n"/>
    </row>
    <row r="65">
      <c r="A65" s="13" t="n">
        <v>61</v>
      </c>
      <c r="B65" s="14" t="inlineStr">
        <is>
          <t>Interview practice</t>
        </is>
      </c>
      <c r="C65" s="15" t="inlineStr">
        <is>
          <t>Practise responding to an incident</t>
        </is>
      </c>
      <c r="D65" s="14" t="inlineStr">
        <is>
          <t>Users manage a live incident step by step.</t>
        </is>
      </c>
      <c r="E65" s="14" t="inlineStr">
        <is>
          <t>Practice screen</t>
        </is>
      </c>
      <c r="F65" s="14" t="inlineStr">
        <is>
          <t>Scenarios</t>
        </is>
      </c>
      <c r="G65" s="14" t="inlineStr">
        <is>
          <t>Phase 3: Interview practice and LinkedIn</t>
        </is>
      </c>
      <c r="H65" s="13" t="n">
        <v>7</v>
      </c>
      <c r="I65" s="16">
        <f>Settings!$B$5+(H65-1)*7+4</f>
        <v/>
      </c>
      <c r="J65" s="13" t="inlineStr">
        <is>
          <t>Developer B</t>
        </is>
      </c>
      <c r="K65" s="13" t="inlineStr">
        <is>
          <t>Developer A</t>
        </is>
      </c>
      <c r="L65" s="13" t="inlineStr">
        <is>
          <t>Yes</t>
        </is>
      </c>
      <c r="M65" s="14" t="inlineStr">
        <is>
          <t>Nothing built yet</t>
        </is>
      </c>
      <c r="N65" s="14" t="inlineStr">
        <is>
          <t>Scenarios approved by client experts</t>
        </is>
      </c>
      <c r="O65" s="17" t="inlineStr">
        <is>
          <t>Not started</t>
        </is>
      </c>
      <c r="P65" s="17" t="inlineStr">
        <is>
          <t>Not started</t>
        </is>
      </c>
      <c r="Q65" s="13">
        <f>IF(AND(O65="Not needed",P65="Not needed"),"Not needed",IF(OR(O65="Stuck",P65="Stuck"),"Stuck",IF(AND(OR(O65="Done",O65="Not needed"),OR(P65="Done",P65="Not needed")),"Done",IF(AND(OR(O65="Not started",O65="Not needed"),OR(P65="Not started",P65="Not needed")),"Not started",IF(AND(OR(O65="Being checked",O65="Done",O65="Not needed"),OR(P65="Being checked",P65="Done",P65="Not needed")),"Being checked","In progress")))))</f>
        <v/>
      </c>
      <c r="R65" s="18">
        <f>IFERROR((IF(OR(O65="Not needed",O65="Stuck"),0,INDEX(Settings!$E$5:$E$8,MATCH(O65,Settings!$D$5:$D$8,0)))+IF(OR(P65="Not needed",P65="Stuck"),0,INDEX(Settings!$E$5:$E$8,MATCH(P65,Settings!$D$5:$D$8,0))))/((O65&lt;&gt;"Not needed")+(P65&lt;&gt;"Not needed")),0)</f>
        <v/>
      </c>
      <c r="S65" s="19" t="n"/>
    </row>
    <row r="66">
      <c r="A66" s="20" t="n">
        <v>62</v>
      </c>
      <c r="B66" s="21" t="inlineStr">
        <is>
          <t>Interview practice</t>
        </is>
      </c>
      <c r="C66" s="22" t="inlineStr">
        <is>
          <t>Practise a technical deep-dive</t>
        </is>
      </c>
      <c r="D66" s="21" t="inlineStr">
        <is>
          <t>Users are questioned in depth on their technology.</t>
        </is>
      </c>
      <c r="E66" s="21" t="inlineStr">
        <is>
          <t>Practice screen</t>
        </is>
      </c>
      <c r="F66" s="21" t="inlineStr">
        <is>
          <t>Scenarios</t>
        </is>
      </c>
      <c r="G66" s="21" t="inlineStr">
        <is>
          <t>Phase 3: Interview practice and LinkedIn</t>
        </is>
      </c>
      <c r="H66" s="20" t="n">
        <v>7</v>
      </c>
      <c r="I66" s="23">
        <f>Settings!$B$5+(H66-1)*7+4</f>
        <v/>
      </c>
      <c r="J66" s="20" t="inlineStr">
        <is>
          <t>Developer B</t>
        </is>
      </c>
      <c r="K66" s="20" t="inlineStr">
        <is>
          <t>Developer A</t>
        </is>
      </c>
      <c r="L66" s="20" t="inlineStr">
        <is>
          <t>Yes</t>
        </is>
      </c>
      <c r="M66" s="21" t="inlineStr">
        <is>
          <t>Nothing built yet</t>
        </is>
      </c>
      <c r="N66" s="21" t="inlineStr">
        <is>
          <t>Scenarios approved by client experts</t>
        </is>
      </c>
      <c r="O66" s="17" t="inlineStr">
        <is>
          <t>Not started</t>
        </is>
      </c>
      <c r="P66" s="17" t="inlineStr">
        <is>
          <t>Not started</t>
        </is>
      </c>
      <c r="Q66" s="20">
        <f>IF(AND(O66="Not needed",P66="Not needed"),"Not needed",IF(OR(O66="Stuck",P66="Stuck"),"Stuck",IF(AND(OR(O66="Done",O66="Not needed"),OR(P66="Done",P66="Not needed")),"Done",IF(AND(OR(O66="Not started",O66="Not needed"),OR(P66="Not started",P66="Not needed")),"Not started",IF(AND(OR(O66="Being checked",O66="Done",O66="Not needed"),OR(P66="Being checked",P66="Done",P66="Not needed")),"Being checked","In progress")))))</f>
        <v/>
      </c>
      <c r="R66" s="24">
        <f>IFERROR((IF(OR(O66="Not needed",O66="Stuck"),0,INDEX(Settings!$E$5:$E$8,MATCH(O66,Settings!$D$5:$D$8,0)))+IF(OR(P66="Not needed",P66="Stuck"),0,INDEX(Settings!$E$5:$E$8,MATCH(P66,Settings!$D$5:$D$8,0))))/((O66&lt;&gt;"Not needed")+(P66&lt;&gt;"Not needed")),0)</f>
        <v/>
      </c>
      <c r="S66" s="19" t="n"/>
    </row>
    <row r="67">
      <c r="A67" s="13" t="n">
        <v>63</v>
      </c>
      <c r="B67" s="14" t="inlineStr">
        <is>
          <t>Interview practice</t>
        </is>
      </c>
      <c r="C67" s="15" t="inlineStr">
        <is>
          <t>Practise a system design interview</t>
        </is>
      </c>
      <c r="D67" s="14" t="inlineStr">
        <is>
          <t>Users answer system design questions.</t>
        </is>
      </c>
      <c r="E67" s="14" t="inlineStr">
        <is>
          <t>Practice screen</t>
        </is>
      </c>
      <c r="F67" s="14" t="inlineStr">
        <is>
          <t>Scenarios</t>
        </is>
      </c>
      <c r="G67" s="14" t="inlineStr">
        <is>
          <t>Phase 3: Interview practice and LinkedIn</t>
        </is>
      </c>
      <c r="H67" s="13" t="n">
        <v>7</v>
      </c>
      <c r="I67" s="16">
        <f>Settings!$B$5+(H67-1)*7+4</f>
        <v/>
      </c>
      <c r="J67" s="13" t="inlineStr">
        <is>
          <t>Developer B</t>
        </is>
      </c>
      <c r="K67" s="13" t="inlineStr">
        <is>
          <t>Developer A</t>
        </is>
      </c>
      <c r="L67" s="13" t="inlineStr">
        <is>
          <t>Yes</t>
        </is>
      </c>
      <c r="M67" s="14" t="inlineStr">
        <is>
          <t>Nothing built yet</t>
        </is>
      </c>
      <c r="N67" s="14" t="inlineStr">
        <is>
          <t>Scenarios approved by client experts</t>
        </is>
      </c>
      <c r="O67" s="17" t="inlineStr">
        <is>
          <t>Not started</t>
        </is>
      </c>
      <c r="P67" s="17" t="inlineStr">
        <is>
          <t>Not started</t>
        </is>
      </c>
      <c r="Q67" s="13">
        <f>IF(AND(O67="Not needed",P67="Not needed"),"Not needed",IF(OR(O67="Stuck",P67="Stuck"),"Stuck",IF(AND(OR(O67="Done",O67="Not needed"),OR(P67="Done",P67="Not needed")),"Done",IF(AND(OR(O67="Not started",O67="Not needed"),OR(P67="Not started",P67="Not needed")),"Not started",IF(AND(OR(O67="Being checked",O67="Done",O67="Not needed"),OR(P67="Being checked",P67="Done",P67="Not needed")),"Being checked","In progress")))))</f>
        <v/>
      </c>
      <c r="R67" s="18">
        <f>IFERROR((IF(OR(O67="Not needed",O67="Stuck"),0,INDEX(Settings!$E$5:$E$8,MATCH(O67,Settings!$D$5:$D$8,0)))+IF(OR(P67="Not needed",P67="Stuck"),0,INDEX(Settings!$E$5:$E$8,MATCH(P67,Settings!$D$5:$D$8,0))))/((O67&lt;&gt;"Not needed")+(P67&lt;&gt;"Not needed")),0)</f>
        <v/>
      </c>
      <c r="S67" s="19" t="n"/>
    </row>
    <row r="68">
      <c r="A68" s="20" t="n">
        <v>64</v>
      </c>
      <c r="B68" s="21" t="inlineStr">
        <is>
          <t>Interview practice</t>
        </is>
      </c>
      <c r="C68" s="22" t="inlineStr">
        <is>
          <t>Follow-up questions that react to answers</t>
        </is>
      </c>
      <c r="D68" s="21" t="inlineStr">
        <is>
          <t>The interviewer's next question depends on what the user said.</t>
        </is>
      </c>
      <c r="E68" s="21" t="inlineStr">
        <is>
          <t>Conversation view</t>
        </is>
      </c>
      <c r="F68" s="21" t="inlineStr">
        <is>
          <t>Generate follow-up questions</t>
        </is>
      </c>
      <c r="G68" s="21" t="inlineStr">
        <is>
          <t>Phase 3: Interview practice and LinkedIn</t>
        </is>
      </c>
      <c r="H68" s="20" t="n">
        <v>7</v>
      </c>
      <c r="I68" s="23">
        <f>Settings!$B$5+(H68-1)*7+4</f>
        <v/>
      </c>
      <c r="J68" s="20" t="inlineStr">
        <is>
          <t>Developer B</t>
        </is>
      </c>
      <c r="K68" s="20" t="inlineStr">
        <is>
          <t>Developer A</t>
        </is>
      </c>
      <c r="L68" s="20" t="inlineStr">
        <is>
          <t>Yes</t>
        </is>
      </c>
      <c r="M68" s="21" t="inlineStr">
        <is>
          <t>Nothing built yet</t>
        </is>
      </c>
      <c r="N68" s="21" t="inlineStr">
        <is>
          <t>—</t>
        </is>
      </c>
      <c r="O68" s="17" t="inlineStr">
        <is>
          <t>Not started</t>
        </is>
      </c>
      <c r="P68" s="17" t="inlineStr">
        <is>
          <t>Not started</t>
        </is>
      </c>
      <c r="Q68" s="20">
        <f>IF(AND(O68="Not needed",P68="Not needed"),"Not needed",IF(OR(O68="Stuck",P68="Stuck"),"Stuck",IF(AND(OR(O68="Done",O68="Not needed"),OR(P68="Done",P68="Not needed")),"Done",IF(AND(OR(O68="Not started",O68="Not needed"),OR(P68="Not started",P68="Not needed")),"Not started",IF(AND(OR(O68="Being checked",O68="Done",O68="Not needed"),OR(P68="Being checked",P68="Done",P68="Not needed")),"Being checked","In progress")))))</f>
        <v/>
      </c>
      <c r="R68" s="24">
        <f>IFERROR((IF(OR(O68="Not needed",O68="Stuck"),0,INDEX(Settings!$E$5:$E$8,MATCH(O68,Settings!$D$5:$D$8,0)))+IF(OR(P68="Not needed",P68="Stuck"),0,INDEX(Settings!$E$5:$E$8,MATCH(P68,Settings!$D$5:$D$8,0))))/((O68&lt;&gt;"Not needed")+(P68&lt;&gt;"Not needed")),0)</f>
        <v/>
      </c>
      <c r="S68" s="19" t="n"/>
    </row>
    <row r="69">
      <c r="A69" s="13" t="n">
        <v>65</v>
      </c>
      <c r="B69" s="14" t="inlineStr">
        <is>
          <t>Interview practice</t>
        </is>
      </c>
      <c r="C69" s="15" t="inlineStr">
        <is>
          <t>Answer by typing or speaking, against the clock</t>
        </is>
      </c>
      <c r="D69" s="14" t="inlineStr">
        <is>
          <t>Practice feels like a real interview.</t>
        </is>
      </c>
      <c r="E69" s="14" t="inlineStr">
        <is>
          <t>Text and voice answers, timer, save progress</t>
        </is>
      </c>
      <c r="F69" s="14" t="inlineStr">
        <is>
          <t>Turn speech into text, save sessions</t>
        </is>
      </c>
      <c r="G69" s="14" t="inlineStr">
        <is>
          <t>Phase 3: Interview practice and LinkedIn</t>
        </is>
      </c>
      <c r="H69" s="13" t="n">
        <v>7</v>
      </c>
      <c r="I69" s="16">
        <f>Settings!$B$5+(H69-1)*7+4</f>
        <v/>
      </c>
      <c r="J69" s="13" t="inlineStr">
        <is>
          <t>Developer B</t>
        </is>
      </c>
      <c r="K69" s="13" t="inlineStr">
        <is>
          <t>Developer B</t>
        </is>
      </c>
      <c r="L69" s="13" t="inlineStr">
        <is>
          <t>No</t>
        </is>
      </c>
      <c r="M69" s="14" t="inlineStr">
        <is>
          <t>Typed answers only</t>
        </is>
      </c>
      <c r="N69" s="14" t="inlineStr">
        <is>
          <t>—</t>
        </is>
      </c>
      <c r="O69" s="17" t="inlineStr">
        <is>
          <t>Not started</t>
        </is>
      </c>
      <c r="P69" s="17" t="inlineStr">
        <is>
          <t>Not started</t>
        </is>
      </c>
      <c r="Q69" s="13">
        <f>IF(AND(O69="Not needed",P69="Not needed"),"Not needed",IF(OR(O69="Stuck",P69="Stuck"),"Stuck",IF(AND(OR(O69="Done",O69="Not needed"),OR(P69="Done",P69="Not needed")),"Done",IF(AND(OR(O69="Not started",O69="Not needed"),OR(P69="Not started",P69="Not needed")),"Not started",IF(AND(OR(O69="Being checked",O69="Done",O69="Not needed"),OR(P69="Being checked",P69="Done",P69="Not needed")),"Being checked","In progress")))))</f>
        <v/>
      </c>
      <c r="R69" s="18">
        <f>IFERROR((IF(OR(O69="Not needed",O69="Stuck"),0,INDEX(Settings!$E$5:$E$8,MATCH(O69,Settings!$D$5:$D$8,0)))+IF(OR(P69="Not needed",P69="Stuck"),0,INDEX(Settings!$E$5:$E$8,MATCH(P69,Settings!$D$5:$D$8,0))))/((O69&lt;&gt;"Not needed")+(P69&lt;&gt;"Not needed")),0)</f>
        <v/>
      </c>
      <c r="S69" s="19" t="n"/>
    </row>
    <row r="70">
      <c r="A70" s="20" t="n">
        <v>66</v>
      </c>
      <c r="B70" s="21" t="inlineStr">
        <is>
          <t>Interview practice</t>
        </is>
      </c>
      <c r="C70" s="22" t="inlineStr">
        <is>
          <t>Technical depth score</t>
        </is>
      </c>
      <c r="D70" s="21" t="inlineStr">
        <is>
          <t>Users see how deep their technical answers were.</t>
        </is>
      </c>
      <c r="E70" s="21" t="inlineStr">
        <is>
          <t>Score bar</t>
        </is>
      </c>
      <c r="F70" s="21" t="inlineStr">
        <is>
          <t>AI scores answers against a marking guide</t>
        </is>
      </c>
      <c r="G70" s="21" t="inlineStr">
        <is>
          <t>Phase 3: Interview practice and LinkedIn</t>
        </is>
      </c>
      <c r="H70" s="20" t="n">
        <v>8</v>
      </c>
      <c r="I70" s="23">
        <f>Settings!$B$5+(H70-1)*7+4</f>
        <v/>
      </c>
      <c r="J70" s="20" t="inlineStr">
        <is>
          <t>Developer B</t>
        </is>
      </c>
      <c r="K70" s="20" t="inlineStr">
        <is>
          <t>Developer A</t>
        </is>
      </c>
      <c r="L70" s="20" t="inlineStr">
        <is>
          <t>Yes</t>
        </is>
      </c>
      <c r="M70" s="21" t="inlineStr">
        <is>
          <t>Simple rule, not real scoring</t>
        </is>
      </c>
      <c r="N70" s="21" t="inlineStr">
        <is>
          <t>Answers scored by experts</t>
        </is>
      </c>
      <c r="O70" s="17" t="inlineStr">
        <is>
          <t>Not started</t>
        </is>
      </c>
      <c r="P70" s="17" t="inlineStr">
        <is>
          <t>Not started</t>
        </is>
      </c>
      <c r="Q70" s="20">
        <f>IF(AND(O70="Not needed",P70="Not needed"),"Not needed",IF(OR(O70="Stuck",P70="Stuck"),"Stuck",IF(AND(OR(O70="Done",O70="Not needed"),OR(P70="Done",P70="Not needed")),"Done",IF(AND(OR(O70="Not started",O70="Not needed"),OR(P70="Not started",P70="Not needed")),"Not started",IF(AND(OR(O70="Being checked",O70="Done",O70="Not needed"),OR(P70="Being checked",P70="Done",P70="Not needed")),"Being checked","In progress")))))</f>
        <v/>
      </c>
      <c r="R70" s="24">
        <f>IFERROR((IF(OR(O70="Not needed",O70="Stuck"),0,INDEX(Settings!$E$5:$E$8,MATCH(O70,Settings!$D$5:$D$8,0)))+IF(OR(P70="Not needed",P70="Stuck"),0,INDEX(Settings!$E$5:$E$8,MATCH(P70,Settings!$D$5:$D$8,0))))/((O70&lt;&gt;"Not needed")+(P70&lt;&gt;"Not needed")),0)</f>
        <v/>
      </c>
      <c r="S70" s="19" t="n"/>
    </row>
    <row r="71">
      <c r="A71" s="13" t="n">
        <v>67</v>
      </c>
      <c r="B71" s="14" t="inlineStr">
        <is>
          <t>Interview practice</t>
        </is>
      </c>
      <c r="C71" s="15" t="inlineStr">
        <is>
          <t>Communication score</t>
        </is>
      </c>
      <c r="D71" s="14" t="inlineStr">
        <is>
          <t>Users see how clearly they communicated.</t>
        </is>
      </c>
      <c r="E71" s="14" t="inlineStr">
        <is>
          <t>Score bar</t>
        </is>
      </c>
      <c r="F71" s="14" t="inlineStr">
        <is>
          <t>AI scoring</t>
        </is>
      </c>
      <c r="G71" s="14" t="inlineStr">
        <is>
          <t>Phase 3: Interview practice and LinkedIn</t>
        </is>
      </c>
      <c r="H71" s="13" t="n">
        <v>8</v>
      </c>
      <c r="I71" s="16">
        <f>Settings!$B$5+(H71-1)*7+4</f>
        <v/>
      </c>
      <c r="J71" s="13" t="inlineStr">
        <is>
          <t>Developer B</t>
        </is>
      </c>
      <c r="K71" s="13" t="inlineStr">
        <is>
          <t>Developer A</t>
        </is>
      </c>
      <c r="L71" s="13" t="inlineStr">
        <is>
          <t>Yes</t>
        </is>
      </c>
      <c r="M71" s="14" t="inlineStr">
        <is>
          <t>Simple rule, not real scoring</t>
        </is>
      </c>
      <c r="N71" s="14" t="inlineStr">
        <is>
          <t>—</t>
        </is>
      </c>
      <c r="O71" s="17" t="inlineStr">
        <is>
          <t>Not started</t>
        </is>
      </c>
      <c r="P71" s="17" t="inlineStr">
        <is>
          <t>Not started</t>
        </is>
      </c>
      <c r="Q71" s="13">
        <f>IF(AND(O71="Not needed",P71="Not needed"),"Not needed",IF(OR(O71="Stuck",P71="Stuck"),"Stuck",IF(AND(OR(O71="Done",O71="Not needed"),OR(P71="Done",P71="Not needed")),"Done",IF(AND(OR(O71="Not started",O71="Not needed"),OR(P71="Not started",P71="Not needed")),"Not started",IF(AND(OR(O71="Being checked",O71="Done",O71="Not needed"),OR(P71="Being checked",P71="Done",P71="Not needed")),"Being checked","In progress")))))</f>
        <v/>
      </c>
      <c r="R71" s="18">
        <f>IFERROR((IF(OR(O71="Not needed",O71="Stuck"),0,INDEX(Settings!$E$5:$E$8,MATCH(O71,Settings!$D$5:$D$8,0)))+IF(OR(P71="Not needed",P71="Stuck"),0,INDEX(Settings!$E$5:$E$8,MATCH(P71,Settings!$D$5:$D$8,0))))/((O71&lt;&gt;"Not needed")+(P71&lt;&gt;"Not needed")),0)</f>
        <v/>
      </c>
      <c r="S71" s="19" t="n"/>
    </row>
    <row r="72">
      <c r="A72" s="20" t="n">
        <v>68</v>
      </c>
      <c r="B72" s="21" t="inlineStr">
        <is>
          <t>Interview practice</t>
        </is>
      </c>
      <c r="C72" s="22" t="inlineStr">
        <is>
          <t>Leadership score</t>
        </is>
      </c>
      <c r="D72" s="21" t="inlineStr">
        <is>
          <t>Users see how they came across as a leader.</t>
        </is>
      </c>
      <c r="E72" s="21" t="inlineStr">
        <is>
          <t>Score bar</t>
        </is>
      </c>
      <c r="F72" s="21" t="inlineStr">
        <is>
          <t>AI scoring</t>
        </is>
      </c>
      <c r="G72" s="21" t="inlineStr">
        <is>
          <t>Phase 3: Interview practice and LinkedIn</t>
        </is>
      </c>
      <c r="H72" s="20" t="n">
        <v>8</v>
      </c>
      <c r="I72" s="23">
        <f>Settings!$B$5+(H72-1)*7+4</f>
        <v/>
      </c>
      <c r="J72" s="20" t="inlineStr">
        <is>
          <t>Developer B</t>
        </is>
      </c>
      <c r="K72" s="20" t="inlineStr">
        <is>
          <t>Developer A</t>
        </is>
      </c>
      <c r="L72" s="20" t="inlineStr">
        <is>
          <t>Yes</t>
        </is>
      </c>
      <c r="M72" s="21" t="inlineStr">
        <is>
          <t>Simple rule, not real scoring</t>
        </is>
      </c>
      <c r="N72" s="21" t="inlineStr">
        <is>
          <t>—</t>
        </is>
      </c>
      <c r="O72" s="17" t="inlineStr">
        <is>
          <t>Not started</t>
        </is>
      </c>
      <c r="P72" s="17" t="inlineStr">
        <is>
          <t>Not started</t>
        </is>
      </c>
      <c r="Q72" s="20">
        <f>IF(AND(O72="Not needed",P72="Not needed"),"Not needed",IF(OR(O72="Stuck",P72="Stuck"),"Stuck",IF(AND(OR(O72="Done",O72="Not needed"),OR(P72="Done",P72="Not needed")),"Done",IF(AND(OR(O72="Not started",O72="Not needed"),OR(P72="Not started",P72="Not needed")),"Not started",IF(AND(OR(O72="Being checked",O72="Done",O72="Not needed"),OR(P72="Being checked",P72="Done",P72="Not needed")),"Being checked","In progress")))))</f>
        <v/>
      </c>
      <c r="R72" s="24">
        <f>IFERROR((IF(OR(O72="Not needed",O72="Stuck"),0,INDEX(Settings!$E$5:$E$8,MATCH(O72,Settings!$D$5:$D$8,0)))+IF(OR(P72="Not needed",P72="Stuck"),0,INDEX(Settings!$E$5:$E$8,MATCH(P72,Settings!$D$5:$D$8,0))))/((O72&lt;&gt;"Not needed")+(P72&lt;&gt;"Not needed")),0)</f>
        <v/>
      </c>
      <c r="S72" s="19" t="n"/>
    </row>
    <row r="73">
      <c r="A73" s="13" t="n">
        <v>69</v>
      </c>
      <c r="B73" s="14" t="inlineStr">
        <is>
          <t>Interview practice</t>
        </is>
      </c>
      <c r="C73" s="15" t="inlineStr">
        <is>
          <t>Decision-making score</t>
        </is>
      </c>
      <c r="D73" s="14" t="inlineStr">
        <is>
          <t>Users see the quality of their decisions.</t>
        </is>
      </c>
      <c r="E73" s="14" t="inlineStr">
        <is>
          <t>Score bar</t>
        </is>
      </c>
      <c r="F73" s="14" t="inlineStr">
        <is>
          <t>AI scoring</t>
        </is>
      </c>
      <c r="G73" s="14" t="inlineStr">
        <is>
          <t>Phase 3: Interview practice and LinkedIn</t>
        </is>
      </c>
      <c r="H73" s="13" t="n">
        <v>8</v>
      </c>
      <c r="I73" s="16">
        <f>Settings!$B$5+(H73-1)*7+4</f>
        <v/>
      </c>
      <c r="J73" s="13" t="inlineStr">
        <is>
          <t>Developer B</t>
        </is>
      </c>
      <c r="K73" s="13" t="inlineStr">
        <is>
          <t>Developer A</t>
        </is>
      </c>
      <c r="L73" s="13" t="inlineStr">
        <is>
          <t>Yes</t>
        </is>
      </c>
      <c r="M73" s="14" t="inlineStr">
        <is>
          <t>Simple rule, not real scoring</t>
        </is>
      </c>
      <c r="N73" s="14" t="inlineStr">
        <is>
          <t>—</t>
        </is>
      </c>
      <c r="O73" s="17" t="inlineStr">
        <is>
          <t>Not started</t>
        </is>
      </c>
      <c r="P73" s="17" t="inlineStr">
        <is>
          <t>Not started</t>
        </is>
      </c>
      <c r="Q73" s="13">
        <f>IF(AND(O73="Not needed",P73="Not needed"),"Not needed",IF(OR(O73="Stuck",P73="Stuck"),"Stuck",IF(AND(OR(O73="Done",O73="Not needed"),OR(P73="Done",P73="Not needed")),"Done",IF(AND(OR(O73="Not started",O73="Not needed"),OR(P73="Not started",P73="Not needed")),"Not started",IF(AND(OR(O73="Being checked",O73="Done",O73="Not needed"),OR(P73="Being checked",P73="Done",P73="Not needed")),"Being checked","In progress")))))</f>
        <v/>
      </c>
      <c r="R73" s="18">
        <f>IFERROR((IF(OR(O73="Not needed",O73="Stuck"),0,INDEX(Settings!$E$5:$E$8,MATCH(O73,Settings!$D$5:$D$8,0)))+IF(OR(P73="Not needed",P73="Stuck"),0,INDEX(Settings!$E$5:$E$8,MATCH(P73,Settings!$D$5:$D$8,0))))/((O73&lt;&gt;"Not needed")+(P73&lt;&gt;"Not needed")),0)</f>
        <v/>
      </c>
      <c r="S73" s="19" t="n"/>
    </row>
    <row r="74">
      <c r="A74" s="20" t="n">
        <v>70</v>
      </c>
      <c r="B74" s="21" t="inlineStr">
        <is>
          <t>Interview practice</t>
        </is>
      </c>
      <c r="C74" s="22" t="inlineStr">
        <is>
          <t>Interview readiness score</t>
        </is>
      </c>
      <c r="D74" s="21" t="inlineStr">
        <is>
          <t>One number for how interview-ready the user is.</t>
        </is>
      </c>
      <c r="E74" s="21" t="inlineStr">
        <is>
          <t>Readiness card</t>
        </is>
      </c>
      <c r="F74" s="21" t="inlineStr">
        <is>
          <t>Combine the scores</t>
        </is>
      </c>
      <c r="G74" s="21" t="inlineStr">
        <is>
          <t>Phase 3: Interview practice and LinkedIn</t>
        </is>
      </c>
      <c r="H74" s="20" t="n">
        <v>8</v>
      </c>
      <c r="I74" s="23">
        <f>Settings!$B$5+(H74-1)*7+4</f>
        <v/>
      </c>
      <c r="J74" s="20" t="inlineStr">
        <is>
          <t>Developer B</t>
        </is>
      </c>
      <c r="K74" s="20" t="inlineStr">
        <is>
          <t>Developer A</t>
        </is>
      </c>
      <c r="L74" s="20" t="inlineStr">
        <is>
          <t>Yes</t>
        </is>
      </c>
      <c r="M74" s="21" t="inlineStr">
        <is>
          <t>Based on made-up match scores</t>
        </is>
      </c>
      <c r="N74" s="21" t="inlineStr">
        <is>
          <t>—</t>
        </is>
      </c>
      <c r="O74" s="17" t="inlineStr">
        <is>
          <t>Not started</t>
        </is>
      </c>
      <c r="P74" s="17" t="inlineStr">
        <is>
          <t>Not started</t>
        </is>
      </c>
      <c r="Q74" s="20">
        <f>IF(AND(O74="Not needed",P74="Not needed"),"Not needed",IF(OR(O74="Stuck",P74="Stuck"),"Stuck",IF(AND(OR(O74="Done",O74="Not needed"),OR(P74="Done",P74="Not needed")),"Done",IF(AND(OR(O74="Not started",O74="Not needed"),OR(P74="Not started",P74="Not needed")),"Not started",IF(AND(OR(O74="Being checked",O74="Done",O74="Not needed"),OR(P74="Being checked",P74="Done",P74="Not needed")),"Being checked","In progress")))))</f>
        <v/>
      </c>
      <c r="R74" s="24">
        <f>IFERROR((IF(OR(O74="Not needed",O74="Stuck"),0,INDEX(Settings!$E$5:$E$8,MATCH(O74,Settings!$D$5:$D$8,0)))+IF(OR(P74="Not needed",P74="Stuck"),0,INDEX(Settings!$E$5:$E$8,MATCH(P74,Settings!$D$5:$D$8,0))))/((O74&lt;&gt;"Not needed")+(P74&lt;&gt;"Not needed")),0)</f>
        <v/>
      </c>
      <c r="S74" s="19" t="n"/>
    </row>
    <row r="75">
      <c r="A75" s="13" t="n">
        <v>71</v>
      </c>
      <c r="B75" s="14" t="inlineStr">
        <is>
          <t>Interview practice</t>
        </is>
      </c>
      <c r="C75" s="15" t="inlineStr">
        <is>
          <t>Skill-by-skill pass check</t>
        </is>
      </c>
      <c r="D75" s="14" t="inlineStr">
        <is>
          <t>Users see which skills are proven and which need work.</t>
        </is>
      </c>
      <c r="E75" s="14" t="inlineStr">
        <is>
          <t>Checklist</t>
        </is>
      </c>
      <c r="F75" s="14" t="inlineStr">
        <is>
          <t>Set pass marks per skill</t>
        </is>
      </c>
      <c r="G75" s="14" t="inlineStr">
        <is>
          <t>Phase 3: Interview practice and LinkedIn</t>
        </is>
      </c>
      <c r="H75" s="13" t="n">
        <v>8</v>
      </c>
      <c r="I75" s="16">
        <f>Settings!$B$5+(H75-1)*7+4</f>
        <v/>
      </c>
      <c r="J75" s="13" t="inlineStr">
        <is>
          <t>Developer B</t>
        </is>
      </c>
      <c r="K75" s="13" t="inlineStr">
        <is>
          <t>Developer A</t>
        </is>
      </c>
      <c r="L75" s="13" t="inlineStr">
        <is>
          <t>No</t>
        </is>
      </c>
      <c r="M75" s="14" t="inlineStr">
        <is>
          <t>Nothing built yet</t>
        </is>
      </c>
      <c r="N75" s="14" t="inlineStr">
        <is>
          <t>—</t>
        </is>
      </c>
      <c r="O75" s="17" t="inlineStr">
        <is>
          <t>Not started</t>
        </is>
      </c>
      <c r="P75" s="17" t="inlineStr">
        <is>
          <t>Not started</t>
        </is>
      </c>
      <c r="Q75" s="13">
        <f>IF(AND(O75="Not needed",P75="Not needed"),"Not needed",IF(OR(O75="Stuck",P75="Stuck"),"Stuck",IF(AND(OR(O75="Done",O75="Not needed"),OR(P75="Done",P75="Not needed")),"Done",IF(AND(OR(O75="Not started",O75="Not needed"),OR(P75="Not started",P75="Not needed")),"Not started",IF(AND(OR(O75="Being checked",O75="Done",O75="Not needed"),OR(P75="Being checked",P75="Done",P75="Not needed")),"Being checked","In progress")))))</f>
        <v/>
      </c>
      <c r="R75" s="18">
        <f>IFERROR((IF(OR(O75="Not needed",O75="Stuck"),0,INDEX(Settings!$E$5:$E$8,MATCH(O75,Settings!$D$5:$D$8,0)))+IF(OR(P75="Not needed",P75="Stuck"),0,INDEX(Settings!$E$5:$E$8,MATCH(P75,Settings!$D$5:$D$8,0))))/((O75&lt;&gt;"Not needed")+(P75&lt;&gt;"Not needed")),0)</f>
        <v/>
      </c>
      <c r="S75" s="19" t="n"/>
    </row>
    <row r="76">
      <c r="A76" s="20" t="n">
        <v>72</v>
      </c>
      <c r="B76" s="21" t="inlineStr">
        <is>
          <t>Interview practice</t>
        </is>
      </c>
      <c r="C76" s="22" t="inlineStr">
        <is>
          <t>Feedback and model answers</t>
        </is>
      </c>
      <c r="D76" s="21" t="inlineStr">
        <is>
          <t>After each answer, users see what to improve and a strong example.</t>
        </is>
      </c>
      <c r="E76" s="21" t="inlineStr">
        <is>
          <t>Feedback panel</t>
        </is>
      </c>
      <c r="F76" s="21" t="inlineStr">
        <is>
          <t>Write feedback</t>
        </is>
      </c>
      <c r="G76" s="21" t="inlineStr">
        <is>
          <t>Phase 3: Interview practice and LinkedIn</t>
        </is>
      </c>
      <c r="H76" s="20" t="n">
        <v>8</v>
      </c>
      <c r="I76" s="23">
        <f>Settings!$B$5+(H76-1)*7+4</f>
        <v/>
      </c>
      <c r="J76" s="20" t="inlineStr">
        <is>
          <t>Developer B</t>
        </is>
      </c>
      <c r="K76" s="20" t="inlineStr">
        <is>
          <t>Developer A</t>
        </is>
      </c>
      <c r="L76" s="20" t="inlineStr">
        <is>
          <t>Yes</t>
        </is>
      </c>
      <c r="M76" s="21" t="inlineStr">
        <is>
          <t>Nothing built yet</t>
        </is>
      </c>
      <c r="N76" s="21" t="inlineStr">
        <is>
          <t>Model answers from experts</t>
        </is>
      </c>
      <c r="O76" s="17" t="inlineStr">
        <is>
          <t>Not started</t>
        </is>
      </c>
      <c r="P76" s="17" t="inlineStr">
        <is>
          <t>Not started</t>
        </is>
      </c>
      <c r="Q76" s="20">
        <f>IF(AND(O76="Not needed",P76="Not needed"),"Not needed",IF(OR(O76="Stuck",P76="Stuck"),"Stuck",IF(AND(OR(O76="Done",O76="Not needed"),OR(P76="Done",P76="Not needed")),"Done",IF(AND(OR(O76="Not started",O76="Not needed"),OR(P76="Not started",P76="Not needed")),"Not started",IF(AND(OR(O76="Being checked",O76="Done",O76="Not needed"),OR(P76="Being checked",P76="Done",P76="Not needed")),"Being checked","In progress")))))</f>
        <v/>
      </c>
      <c r="R76" s="24">
        <f>IFERROR((IF(OR(O76="Not needed",O76="Stuck"),0,INDEX(Settings!$E$5:$E$8,MATCH(O76,Settings!$D$5:$D$8,0)))+IF(OR(P76="Not needed",P76="Stuck"),0,INDEX(Settings!$E$5:$E$8,MATCH(P76,Settings!$D$5:$D$8,0))))/((O76&lt;&gt;"Not needed")+(P76&lt;&gt;"Not needed")),0)</f>
        <v/>
      </c>
      <c r="S76" s="19" t="n"/>
    </row>
    <row r="77">
      <c r="A77" s="13" t="n">
        <v>73</v>
      </c>
      <c r="B77" s="14" t="inlineStr">
        <is>
          <t>Interview practice</t>
        </is>
      </c>
      <c r="C77" s="15" t="inlineStr">
        <is>
          <t>Improvement over time</t>
        </is>
      </c>
      <c r="D77" s="14" t="inlineStr">
        <is>
          <t>Users see their scores improve across sessions.</t>
        </is>
      </c>
      <c r="E77" s="14" t="inlineStr">
        <is>
          <t>Trend chart</t>
        </is>
      </c>
      <c r="F77" s="14" t="inlineStr">
        <is>
          <t>Keep score history</t>
        </is>
      </c>
      <c r="G77" s="14" t="inlineStr">
        <is>
          <t>Phase 3: Interview practice and LinkedIn</t>
        </is>
      </c>
      <c r="H77" s="13" t="n">
        <v>8</v>
      </c>
      <c r="I77" s="16">
        <f>Settings!$B$5+(H77-1)*7+4</f>
        <v/>
      </c>
      <c r="J77" s="13" t="inlineStr">
        <is>
          <t>Developer B</t>
        </is>
      </c>
      <c r="K77" s="13" t="inlineStr">
        <is>
          <t>Developer B</t>
        </is>
      </c>
      <c r="L77" s="13" t="inlineStr">
        <is>
          <t>No</t>
        </is>
      </c>
      <c r="M77" s="14" t="inlineStr">
        <is>
          <t>Nothing built yet</t>
        </is>
      </c>
      <c r="N77" s="14" t="inlineStr">
        <is>
          <t>—</t>
        </is>
      </c>
      <c r="O77" s="17" t="inlineStr">
        <is>
          <t>Not started</t>
        </is>
      </c>
      <c r="P77" s="17" t="inlineStr">
        <is>
          <t>Not started</t>
        </is>
      </c>
      <c r="Q77" s="13">
        <f>IF(AND(O77="Not needed",P77="Not needed"),"Not needed",IF(OR(O77="Stuck",P77="Stuck"),"Stuck",IF(AND(OR(O77="Done",O77="Not needed"),OR(P77="Done",P77="Not needed")),"Done",IF(AND(OR(O77="Not started",O77="Not needed"),OR(P77="Not started",P77="Not needed")),"Not started",IF(AND(OR(O77="Being checked",O77="Done",O77="Not needed"),OR(P77="Being checked",P77="Done",P77="Not needed")),"Being checked","In progress")))))</f>
        <v/>
      </c>
      <c r="R77" s="18">
        <f>IFERROR((IF(OR(O77="Not needed",O77="Stuck"),0,INDEX(Settings!$E$5:$E$8,MATCH(O77,Settings!$D$5:$D$8,0)))+IF(OR(P77="Not needed",P77="Stuck"),0,INDEX(Settings!$E$5:$E$8,MATCH(P77,Settings!$D$5:$D$8,0))))/((O77&lt;&gt;"Not needed")+(P77&lt;&gt;"Not needed")),0)</f>
        <v/>
      </c>
      <c r="S77" s="19" t="n"/>
    </row>
    <row r="78">
      <c r="A78" s="20" t="n">
        <v>74</v>
      </c>
      <c r="B78" s="21" t="inlineStr">
        <is>
          <t>LinkedIn and outreach</t>
        </is>
      </c>
      <c r="C78" s="22" t="inlineStr">
        <is>
          <t>Thought leadership posts</t>
        </is>
      </c>
      <c r="D78" s="21" t="inlineStr">
        <is>
          <t>Users get LinkedIn posts written in their own voice.</t>
        </is>
      </c>
      <c r="E78" s="21" t="inlineStr">
        <is>
          <t>Post editor</t>
        </is>
      </c>
      <c r="F78" s="21" t="inlineStr">
        <is>
          <t>Write posts using the voice profile</t>
        </is>
      </c>
      <c r="G78" s="21" t="inlineStr">
        <is>
          <t>Phase 3: Interview practice and LinkedIn</t>
        </is>
      </c>
      <c r="H78" s="20" t="n">
        <v>9</v>
      </c>
      <c r="I78" s="23">
        <f>Settings!$B$5+(H78-1)*7+4</f>
        <v/>
      </c>
      <c r="J78" s="20" t="inlineStr">
        <is>
          <t>Developer B</t>
        </is>
      </c>
      <c r="K78" s="20" t="inlineStr">
        <is>
          <t>Developer A</t>
        </is>
      </c>
      <c r="L78" s="20" t="inlineStr">
        <is>
          <t>Yes</t>
        </is>
      </c>
      <c r="M78" s="21" t="inlineStr">
        <is>
          <t>One sample post</t>
        </is>
      </c>
      <c r="N78" s="21" t="inlineStr">
        <is>
          <t>—</t>
        </is>
      </c>
      <c r="O78" s="17" t="inlineStr">
        <is>
          <t>Not started</t>
        </is>
      </c>
      <c r="P78" s="17" t="inlineStr">
        <is>
          <t>Not started</t>
        </is>
      </c>
      <c r="Q78" s="20">
        <f>IF(AND(O78="Not needed",P78="Not needed"),"Not needed",IF(OR(O78="Stuck",P78="Stuck"),"Stuck",IF(AND(OR(O78="Done",O78="Not needed"),OR(P78="Done",P78="Not needed")),"Done",IF(AND(OR(O78="Not started",O78="Not needed"),OR(P78="Not started",P78="Not needed")),"Not started",IF(AND(OR(O78="Being checked",O78="Done",O78="Not needed"),OR(P78="Being checked",P78="Done",P78="Not needed")),"Being checked","In progress")))))</f>
        <v/>
      </c>
      <c r="R78" s="24">
        <f>IFERROR((IF(OR(O78="Not needed",O78="Stuck"),0,INDEX(Settings!$E$5:$E$8,MATCH(O78,Settings!$D$5:$D$8,0)))+IF(OR(P78="Not needed",P78="Stuck"),0,INDEX(Settings!$E$5:$E$8,MATCH(P78,Settings!$D$5:$D$8,0))))/((O78&lt;&gt;"Not needed")+(P78&lt;&gt;"Not needed")),0)</f>
        <v/>
      </c>
      <c r="S78" s="19" t="n"/>
    </row>
    <row r="79">
      <c r="A79" s="13" t="n">
        <v>75</v>
      </c>
      <c r="B79" s="14" t="inlineStr">
        <is>
          <t>LinkedIn and outreach</t>
        </is>
      </c>
      <c r="C79" s="15" t="inlineStr">
        <is>
          <t>Technical insight posts</t>
        </is>
      </c>
      <c r="D79" s="14" t="inlineStr">
        <is>
          <t>Posts sharing technical know-how.</t>
        </is>
      </c>
      <c r="E79" s="14" t="inlineStr">
        <is>
          <t>Post editor</t>
        </is>
      </c>
      <c r="F79" s="14" t="inlineStr">
        <is>
          <t>Write posts</t>
        </is>
      </c>
      <c r="G79" s="14" t="inlineStr">
        <is>
          <t>Phase 3: Interview practice and LinkedIn</t>
        </is>
      </c>
      <c r="H79" s="13" t="n">
        <v>9</v>
      </c>
      <c r="I79" s="16">
        <f>Settings!$B$5+(H79-1)*7+4</f>
        <v/>
      </c>
      <c r="J79" s="13" t="inlineStr">
        <is>
          <t>Developer B</t>
        </is>
      </c>
      <c r="K79" s="13" t="inlineStr">
        <is>
          <t>Developer A</t>
        </is>
      </c>
      <c r="L79" s="13" t="inlineStr">
        <is>
          <t>Yes</t>
        </is>
      </c>
      <c r="M79" s="14" t="inlineStr">
        <is>
          <t>Nothing built yet</t>
        </is>
      </c>
      <c r="N79" s="14" t="inlineStr">
        <is>
          <t>—</t>
        </is>
      </c>
      <c r="O79" s="17" t="inlineStr">
        <is>
          <t>Not started</t>
        </is>
      </c>
      <c r="P79" s="17" t="inlineStr">
        <is>
          <t>Not started</t>
        </is>
      </c>
      <c r="Q79" s="13">
        <f>IF(AND(O79="Not needed",P79="Not needed"),"Not needed",IF(OR(O79="Stuck",P79="Stuck"),"Stuck",IF(AND(OR(O79="Done",O79="Not needed"),OR(P79="Done",P79="Not needed")),"Done",IF(AND(OR(O79="Not started",O79="Not needed"),OR(P79="Not started",P79="Not needed")),"Not started",IF(AND(OR(O79="Being checked",O79="Done",O79="Not needed"),OR(P79="Being checked",P79="Done",P79="Not needed")),"Being checked","In progress")))))</f>
        <v/>
      </c>
      <c r="R79" s="18">
        <f>IFERROR((IF(OR(O79="Not needed",O79="Stuck"),0,INDEX(Settings!$E$5:$E$8,MATCH(O79,Settings!$D$5:$D$8,0)))+IF(OR(P79="Not needed",P79="Stuck"),0,INDEX(Settings!$E$5:$E$8,MATCH(P79,Settings!$D$5:$D$8,0))))/((O79&lt;&gt;"Not needed")+(P79&lt;&gt;"Not needed")),0)</f>
        <v/>
      </c>
      <c r="S79" s="19" t="n"/>
    </row>
    <row r="80">
      <c r="A80" s="20" t="n">
        <v>76</v>
      </c>
      <c r="B80" s="21" t="inlineStr">
        <is>
          <t>LinkedIn and outreach</t>
        </is>
      </c>
      <c r="C80" s="22" t="inlineStr">
        <is>
          <t>Career story posts</t>
        </is>
      </c>
      <c r="D80" s="21" t="inlineStr">
        <is>
          <t>Posts about the user's career experiences.</t>
        </is>
      </c>
      <c r="E80" s="21" t="inlineStr">
        <is>
          <t>Post editor</t>
        </is>
      </c>
      <c r="F80" s="21" t="inlineStr">
        <is>
          <t>Write posts</t>
        </is>
      </c>
      <c r="G80" s="21" t="inlineStr">
        <is>
          <t>Phase 3: Interview practice and LinkedIn</t>
        </is>
      </c>
      <c r="H80" s="20" t="n">
        <v>9</v>
      </c>
      <c r="I80" s="23">
        <f>Settings!$B$5+(H80-1)*7+4</f>
        <v/>
      </c>
      <c r="J80" s="20" t="inlineStr">
        <is>
          <t>Developer B</t>
        </is>
      </c>
      <c r="K80" s="20" t="inlineStr">
        <is>
          <t>Developer A</t>
        </is>
      </c>
      <c r="L80" s="20" t="inlineStr">
        <is>
          <t>No</t>
        </is>
      </c>
      <c r="M80" s="21" t="inlineStr">
        <is>
          <t>Nothing built yet</t>
        </is>
      </c>
      <c r="N80" s="21" t="inlineStr">
        <is>
          <t>—</t>
        </is>
      </c>
      <c r="O80" s="17" t="inlineStr">
        <is>
          <t>Not started</t>
        </is>
      </c>
      <c r="P80" s="17" t="inlineStr">
        <is>
          <t>Not started</t>
        </is>
      </c>
      <c r="Q80" s="20">
        <f>IF(AND(O80="Not needed",P80="Not needed"),"Not needed",IF(OR(O80="Stuck",P80="Stuck"),"Stuck",IF(AND(OR(O80="Done",O80="Not needed"),OR(P80="Done",P80="Not needed")),"Done",IF(AND(OR(O80="Not started",O80="Not needed"),OR(P80="Not started",P80="Not needed")),"Not started",IF(AND(OR(O80="Being checked",O80="Done",O80="Not needed"),OR(P80="Being checked",P80="Done",P80="Not needed")),"Being checked","In progress")))))</f>
        <v/>
      </c>
      <c r="R80" s="24">
        <f>IFERROR((IF(OR(O80="Not needed",O80="Stuck"),0,INDEX(Settings!$E$5:$E$8,MATCH(O80,Settings!$D$5:$D$8,0)))+IF(OR(P80="Not needed",P80="Stuck"),0,INDEX(Settings!$E$5:$E$8,MATCH(P80,Settings!$D$5:$D$8,0))))/((O80&lt;&gt;"Not needed")+(P80&lt;&gt;"Not needed")),0)</f>
        <v/>
      </c>
      <c r="S80" s="19" t="n"/>
    </row>
    <row r="81">
      <c r="A81" s="13" t="n">
        <v>77</v>
      </c>
      <c r="B81" s="14" t="inlineStr">
        <is>
          <t>LinkedIn and outreach</t>
        </is>
      </c>
      <c r="C81" s="15" t="inlineStr">
        <is>
          <t>Industry comment posts</t>
        </is>
      </c>
      <c r="D81" s="14" t="inlineStr">
        <is>
          <t>Posts commenting on industry news.</t>
        </is>
      </c>
      <c r="E81" s="14" t="inlineStr">
        <is>
          <t>Post editor</t>
        </is>
      </c>
      <c r="F81" s="14" t="inlineStr">
        <is>
          <t>Write posts</t>
        </is>
      </c>
      <c r="G81" s="14" t="inlineStr">
        <is>
          <t>Phase 3: Interview practice and LinkedIn</t>
        </is>
      </c>
      <c r="H81" s="13" t="n">
        <v>9</v>
      </c>
      <c r="I81" s="16">
        <f>Settings!$B$5+(H81-1)*7+4</f>
        <v/>
      </c>
      <c r="J81" s="13" t="inlineStr">
        <is>
          <t>Developer B</t>
        </is>
      </c>
      <c r="K81" s="13" t="inlineStr">
        <is>
          <t>Developer A</t>
        </is>
      </c>
      <c r="L81" s="13" t="inlineStr">
        <is>
          <t>No</t>
        </is>
      </c>
      <c r="M81" s="14" t="inlineStr">
        <is>
          <t>Nothing built yet</t>
        </is>
      </c>
      <c r="N81" s="14" t="inlineStr">
        <is>
          <t>—</t>
        </is>
      </c>
      <c r="O81" s="17" t="inlineStr">
        <is>
          <t>Not started</t>
        </is>
      </c>
      <c r="P81" s="17" t="inlineStr">
        <is>
          <t>Not started</t>
        </is>
      </c>
      <c r="Q81" s="13">
        <f>IF(AND(O81="Not needed",P81="Not needed"),"Not needed",IF(OR(O81="Stuck",P81="Stuck"),"Stuck",IF(AND(OR(O81="Done",O81="Not needed"),OR(P81="Done",P81="Not needed")),"Done",IF(AND(OR(O81="Not started",O81="Not needed"),OR(P81="Not started",P81="Not needed")),"Not started",IF(AND(OR(O81="Being checked",O81="Done",O81="Not needed"),OR(P81="Being checked",P81="Done",P81="Not needed")),"Being checked","In progress")))))</f>
        <v/>
      </c>
      <c r="R81" s="18">
        <f>IFERROR((IF(OR(O81="Not needed",O81="Stuck"),0,INDEX(Settings!$E$5:$E$8,MATCH(O81,Settings!$D$5:$D$8,0)))+IF(OR(P81="Not needed",P81="Stuck"),0,INDEX(Settings!$E$5:$E$8,MATCH(P81,Settings!$D$5:$D$8,0))))/((O81&lt;&gt;"Not needed")+(P81&lt;&gt;"Not needed")),0)</f>
        <v/>
      </c>
      <c r="S81" s="19" t="n"/>
    </row>
    <row r="82">
      <c r="A82" s="20" t="n">
        <v>78</v>
      </c>
      <c r="B82" s="21" t="inlineStr">
        <is>
          <t>LinkedIn and outreach</t>
        </is>
      </c>
      <c r="C82" s="22" t="inlineStr">
        <is>
          <t>Keep every post on-brand</t>
        </is>
      </c>
      <c r="D82" s="21" t="inlineStr">
        <is>
          <t>All posts sound like the same person.</t>
        </is>
      </c>
      <c r="E82" s="21" t="inlineStr">
        <is>
          <t>Consistency indicator</t>
        </is>
      </c>
      <c r="F82" s="21" t="inlineStr">
        <is>
          <t>Check each post against the voice profile</t>
        </is>
      </c>
      <c r="G82" s="21" t="inlineStr">
        <is>
          <t>Phase 3: Interview practice and LinkedIn</t>
        </is>
      </c>
      <c r="H82" s="20" t="n">
        <v>9</v>
      </c>
      <c r="I82" s="23">
        <f>Settings!$B$5+(H82-1)*7+4</f>
        <v/>
      </c>
      <c r="J82" s="20" t="inlineStr">
        <is>
          <t>Developer B</t>
        </is>
      </c>
      <c r="K82" s="20" t="inlineStr">
        <is>
          <t>Developer A</t>
        </is>
      </c>
      <c r="L82" s="20" t="inlineStr">
        <is>
          <t>Yes</t>
        </is>
      </c>
      <c r="M82" s="21" t="inlineStr">
        <is>
          <t>Nothing built yet</t>
        </is>
      </c>
      <c r="N82" s="21" t="inlineStr">
        <is>
          <t>—</t>
        </is>
      </c>
      <c r="O82" s="17" t="inlineStr">
        <is>
          <t>Not started</t>
        </is>
      </c>
      <c r="P82" s="17" t="inlineStr">
        <is>
          <t>Not started</t>
        </is>
      </c>
      <c r="Q82" s="20">
        <f>IF(AND(O82="Not needed",P82="Not needed"),"Not needed",IF(OR(O82="Stuck",P82="Stuck"),"Stuck",IF(AND(OR(O82="Done",O82="Not needed"),OR(P82="Done",P82="Not needed")),"Done",IF(AND(OR(O82="Not started",O82="Not needed"),OR(P82="Not started",P82="Not needed")),"Not started",IF(AND(OR(O82="Being checked",O82="Done",O82="Not needed"),OR(P82="Being checked",P82="Done",P82="Not needed")),"Being checked","In progress")))))</f>
        <v/>
      </c>
      <c r="R82" s="24">
        <f>IFERROR((IF(OR(O82="Not needed",O82="Stuck"),0,INDEX(Settings!$E$5:$E$8,MATCH(O82,Settings!$D$5:$D$8,0)))+IF(OR(P82="Not needed",P82="Stuck"),0,INDEX(Settings!$E$5:$E$8,MATCH(P82,Settings!$D$5:$D$8,0))))/((O82&lt;&gt;"Not needed")+(P82&lt;&gt;"Not needed")),0)</f>
        <v/>
      </c>
      <c r="S82" s="19" t="n"/>
    </row>
    <row r="83">
      <c r="A83" s="13" t="n">
        <v>79</v>
      </c>
      <c r="B83" s="14" t="inlineStr">
        <is>
          <t>LinkedIn and outreach</t>
        </is>
      </c>
      <c r="C83" s="15" t="inlineStr">
        <is>
          <t>Long technical articles</t>
        </is>
      </c>
      <c r="D83" s="14" t="inlineStr">
        <is>
          <t>Users get full-length technical articles.</t>
        </is>
      </c>
      <c r="E83" s="14" t="inlineStr">
        <is>
          <t>Article editor</t>
        </is>
      </c>
      <c r="F83" s="14" t="inlineStr">
        <is>
          <t>Write articles</t>
        </is>
      </c>
      <c r="G83" s="14" t="inlineStr">
        <is>
          <t>Phase 3: Interview practice and LinkedIn</t>
        </is>
      </c>
      <c r="H83" s="13" t="n">
        <v>9</v>
      </c>
      <c r="I83" s="16">
        <f>Settings!$B$5+(H83-1)*7+4</f>
        <v/>
      </c>
      <c r="J83" s="13" t="inlineStr">
        <is>
          <t>Developer B</t>
        </is>
      </c>
      <c r="K83" s="13" t="inlineStr">
        <is>
          <t>Developer A</t>
        </is>
      </c>
      <c r="L83" s="13" t="inlineStr">
        <is>
          <t>Yes</t>
        </is>
      </c>
      <c r="M83" s="14" t="inlineStr">
        <is>
          <t>Nothing built yet</t>
        </is>
      </c>
      <c r="N83" s="14" t="inlineStr">
        <is>
          <t>—</t>
        </is>
      </c>
      <c r="O83" s="17" t="inlineStr">
        <is>
          <t>Not started</t>
        </is>
      </c>
      <c r="P83" s="17" t="inlineStr">
        <is>
          <t>Not started</t>
        </is>
      </c>
      <c r="Q83" s="13">
        <f>IF(AND(O83="Not needed",P83="Not needed"),"Not needed",IF(OR(O83="Stuck",P83="Stuck"),"Stuck",IF(AND(OR(O83="Done",O83="Not needed"),OR(P83="Done",P83="Not needed")),"Done",IF(AND(OR(O83="Not started",O83="Not needed"),OR(P83="Not started",P83="Not needed")),"Not started",IF(AND(OR(O83="Being checked",O83="Done",O83="Not needed"),OR(P83="Being checked",P83="Done",P83="Not needed")),"Being checked","In progress")))))</f>
        <v/>
      </c>
      <c r="R83" s="18">
        <f>IFERROR((IF(OR(O83="Not needed",O83="Stuck"),0,INDEX(Settings!$E$5:$E$8,MATCH(O83,Settings!$D$5:$D$8,0)))+IF(OR(P83="Not needed",P83="Stuck"),0,INDEX(Settings!$E$5:$E$8,MATCH(P83,Settings!$D$5:$D$8,0))))/((O83&lt;&gt;"Not needed")+(P83&lt;&gt;"Not needed")),0)</f>
        <v/>
      </c>
      <c r="S83" s="19" t="n"/>
    </row>
    <row r="84">
      <c r="A84" s="20" t="n">
        <v>80</v>
      </c>
      <c r="B84" s="21" t="inlineStr">
        <is>
          <t>LinkedIn and outreach</t>
        </is>
      </c>
      <c r="C84" s="22" t="inlineStr">
        <is>
          <t>Industry research articles</t>
        </is>
      </c>
      <c r="D84" s="21" t="inlineStr">
        <is>
          <t>Research-style articles on the user's field.</t>
        </is>
      </c>
      <c r="E84" s="21" t="inlineStr">
        <is>
          <t>Article editor</t>
        </is>
      </c>
      <c r="F84" s="21" t="inlineStr">
        <is>
          <t>Write articles</t>
        </is>
      </c>
      <c r="G84" s="21" t="inlineStr">
        <is>
          <t>Phase 3: Interview practice and LinkedIn</t>
        </is>
      </c>
      <c r="H84" s="20" t="n">
        <v>9</v>
      </c>
      <c r="I84" s="23">
        <f>Settings!$B$5+(H84-1)*7+4</f>
        <v/>
      </c>
      <c r="J84" s="20" t="inlineStr">
        <is>
          <t>Developer B</t>
        </is>
      </c>
      <c r="K84" s="20" t="inlineStr">
        <is>
          <t>Developer A</t>
        </is>
      </c>
      <c r="L84" s="20" t="inlineStr">
        <is>
          <t>No</t>
        </is>
      </c>
      <c r="M84" s="21" t="inlineStr">
        <is>
          <t>Nothing built yet</t>
        </is>
      </c>
      <c r="N84" s="21" t="inlineStr">
        <is>
          <t>—</t>
        </is>
      </c>
      <c r="O84" s="17" t="inlineStr">
        <is>
          <t>Not started</t>
        </is>
      </c>
      <c r="P84" s="17" t="inlineStr">
        <is>
          <t>Not started</t>
        </is>
      </c>
      <c r="Q84" s="20">
        <f>IF(AND(O84="Not needed",P84="Not needed"),"Not needed",IF(OR(O84="Stuck",P84="Stuck"),"Stuck",IF(AND(OR(O84="Done",O84="Not needed"),OR(P84="Done",P84="Not needed")),"Done",IF(AND(OR(O84="Not started",O84="Not needed"),OR(P84="Not started",P84="Not needed")),"Not started",IF(AND(OR(O84="Being checked",O84="Done",O84="Not needed"),OR(P84="Being checked",P84="Done",P84="Not needed")),"Being checked","In progress")))))</f>
        <v/>
      </c>
      <c r="R84" s="24">
        <f>IFERROR((IF(OR(O84="Not needed",O84="Stuck"),0,INDEX(Settings!$E$5:$E$8,MATCH(O84,Settings!$D$5:$D$8,0)))+IF(OR(P84="Not needed",P84="Stuck"),0,INDEX(Settings!$E$5:$E$8,MATCH(P84,Settings!$D$5:$D$8,0))))/((O84&lt;&gt;"Not needed")+(P84&lt;&gt;"Not needed")),0)</f>
        <v/>
      </c>
      <c r="S84" s="19" t="n"/>
    </row>
    <row r="85">
      <c r="A85" s="13" t="n">
        <v>81</v>
      </c>
      <c r="B85" s="14" t="inlineStr">
        <is>
          <t>LinkedIn and outreach</t>
        </is>
      </c>
      <c r="C85" s="15" t="inlineStr">
        <is>
          <t>Opinion articles</t>
        </is>
      </c>
      <c r="D85" s="14" t="inlineStr">
        <is>
          <t>Articles giving the user's professional opinion.</t>
        </is>
      </c>
      <c r="E85" s="14" t="inlineStr">
        <is>
          <t>Article editor</t>
        </is>
      </c>
      <c r="F85" s="14" t="inlineStr">
        <is>
          <t>Write articles</t>
        </is>
      </c>
      <c r="G85" s="14" t="inlineStr">
        <is>
          <t>Phase 3: Interview practice and LinkedIn</t>
        </is>
      </c>
      <c r="H85" s="13" t="n">
        <v>9</v>
      </c>
      <c r="I85" s="16">
        <f>Settings!$B$5+(H85-1)*7+4</f>
        <v/>
      </c>
      <c r="J85" s="13" t="inlineStr">
        <is>
          <t>Developer B</t>
        </is>
      </c>
      <c r="K85" s="13" t="inlineStr">
        <is>
          <t>Developer A</t>
        </is>
      </c>
      <c r="L85" s="13" t="inlineStr">
        <is>
          <t>No</t>
        </is>
      </c>
      <c r="M85" s="14" t="inlineStr">
        <is>
          <t>Nothing built yet</t>
        </is>
      </c>
      <c r="N85" s="14" t="inlineStr">
        <is>
          <t>—</t>
        </is>
      </c>
      <c r="O85" s="17" t="inlineStr">
        <is>
          <t>Not started</t>
        </is>
      </c>
      <c r="P85" s="17" t="inlineStr">
        <is>
          <t>Not started</t>
        </is>
      </c>
      <c r="Q85" s="13">
        <f>IF(AND(O85="Not needed",P85="Not needed"),"Not needed",IF(OR(O85="Stuck",P85="Stuck"),"Stuck",IF(AND(OR(O85="Done",O85="Not needed"),OR(P85="Done",P85="Not needed")),"Done",IF(AND(OR(O85="Not started",O85="Not needed"),OR(P85="Not started",P85="Not needed")),"Not started",IF(AND(OR(O85="Being checked",O85="Done",O85="Not needed"),OR(P85="Being checked",P85="Done",P85="Not needed")),"Being checked","In progress")))))</f>
        <v/>
      </c>
      <c r="R85" s="18">
        <f>IFERROR((IF(OR(O85="Not needed",O85="Stuck"),0,INDEX(Settings!$E$5:$E$8,MATCH(O85,Settings!$D$5:$D$8,0)))+IF(OR(P85="Not needed",P85="Stuck"),0,INDEX(Settings!$E$5:$E$8,MATCH(P85,Settings!$D$5:$D$8,0))))/((O85&lt;&gt;"Not needed")+(P85&lt;&gt;"Not needed")),0)</f>
        <v/>
      </c>
      <c r="S85" s="19" t="n"/>
    </row>
    <row r="86">
      <c r="A86" s="20" t="n">
        <v>82</v>
      </c>
      <c r="B86" s="21" t="inlineStr">
        <is>
          <t>LinkedIn and outreach</t>
        </is>
      </c>
      <c r="C86" s="22" t="inlineStr">
        <is>
          <t>Executive articles</t>
        </is>
      </c>
      <c r="D86" s="21" t="inlineStr">
        <is>
          <t>Articles for senior leaders.</t>
        </is>
      </c>
      <c r="E86" s="21" t="inlineStr">
        <is>
          <t>Article editor</t>
        </is>
      </c>
      <c r="F86" s="21" t="inlineStr">
        <is>
          <t>Write articles</t>
        </is>
      </c>
      <c r="G86" s="21" t="inlineStr">
        <is>
          <t>Phase 3: Interview practice and LinkedIn</t>
        </is>
      </c>
      <c r="H86" s="20" t="n">
        <v>9</v>
      </c>
      <c r="I86" s="23">
        <f>Settings!$B$5+(H86-1)*7+4</f>
        <v/>
      </c>
      <c r="J86" s="20" t="inlineStr">
        <is>
          <t>Developer B</t>
        </is>
      </c>
      <c r="K86" s="20" t="inlineStr">
        <is>
          <t>Developer A</t>
        </is>
      </c>
      <c r="L86" s="20" t="inlineStr">
        <is>
          <t>No</t>
        </is>
      </c>
      <c r="M86" s="21" t="inlineStr">
        <is>
          <t>Nothing built yet</t>
        </is>
      </c>
      <c r="N86" s="21" t="inlineStr">
        <is>
          <t>—</t>
        </is>
      </c>
      <c r="O86" s="17" t="inlineStr">
        <is>
          <t>Not started</t>
        </is>
      </c>
      <c r="P86" s="17" t="inlineStr">
        <is>
          <t>Not started</t>
        </is>
      </c>
      <c r="Q86" s="20">
        <f>IF(AND(O86="Not needed",P86="Not needed"),"Not needed",IF(OR(O86="Stuck",P86="Stuck"),"Stuck",IF(AND(OR(O86="Done",O86="Not needed"),OR(P86="Done",P86="Not needed")),"Done",IF(AND(OR(O86="Not started",O86="Not needed"),OR(P86="Not started",P86="Not needed")),"Not started",IF(AND(OR(O86="Being checked",O86="Done",O86="Not needed"),OR(P86="Being checked",P86="Done",P86="Not needed")),"Being checked","In progress")))))</f>
        <v/>
      </c>
      <c r="R86" s="24">
        <f>IFERROR((IF(OR(O86="Not needed",O86="Stuck"),0,INDEX(Settings!$E$5:$E$8,MATCH(O86,Settings!$D$5:$D$8,0)))+IF(OR(P86="Not needed",P86="Stuck"),0,INDEX(Settings!$E$5:$E$8,MATCH(P86,Settings!$D$5:$D$8,0))))/((O86&lt;&gt;"Not needed")+(P86&lt;&gt;"Not needed")),0)</f>
        <v/>
      </c>
      <c r="S86" s="19" t="n"/>
    </row>
    <row r="87">
      <c r="A87" s="13" t="n">
        <v>83</v>
      </c>
      <c r="B87" s="14" t="inlineStr">
        <is>
          <t>LinkedIn and outreach</t>
        </is>
      </c>
      <c r="C87" s="15" t="inlineStr">
        <is>
          <t>What to post and why</t>
        </is>
      </c>
      <c r="D87" s="14" t="inlineStr">
        <is>
          <t>Users get a content plan and a positioning strategy.</t>
        </is>
      </c>
      <c r="E87" s="14" t="inlineStr">
        <is>
          <t>Strategy page</t>
        </is>
      </c>
      <c r="F87" s="14" t="inlineStr">
        <is>
          <t>Create the plan</t>
        </is>
      </c>
      <c r="G87" s="14" t="inlineStr">
        <is>
          <t>Phase 3: Interview practice and LinkedIn</t>
        </is>
      </c>
      <c r="H87" s="13" t="n">
        <v>9</v>
      </c>
      <c r="I87" s="16">
        <f>Settings!$B$5+(H87-1)*7+4</f>
        <v/>
      </c>
      <c r="J87" s="13" t="inlineStr">
        <is>
          <t>Developer B</t>
        </is>
      </c>
      <c r="K87" s="13" t="inlineStr">
        <is>
          <t>Developer A</t>
        </is>
      </c>
      <c r="L87" s="13" t="inlineStr">
        <is>
          <t>Yes</t>
        </is>
      </c>
      <c r="M87" s="14" t="inlineStr">
        <is>
          <t>Nothing built yet</t>
        </is>
      </c>
      <c r="N87" s="14" t="inlineStr">
        <is>
          <t>—</t>
        </is>
      </c>
      <c r="O87" s="17" t="inlineStr">
        <is>
          <t>Not started</t>
        </is>
      </c>
      <c r="P87" s="17" t="inlineStr">
        <is>
          <t>Not started</t>
        </is>
      </c>
      <c r="Q87" s="13">
        <f>IF(AND(O87="Not needed",P87="Not needed"),"Not needed",IF(OR(O87="Stuck",P87="Stuck"),"Stuck",IF(AND(OR(O87="Done",O87="Not needed"),OR(P87="Done",P87="Not needed")),"Done",IF(AND(OR(O87="Not started",O87="Not needed"),OR(P87="Not started",P87="Not needed")),"Not started",IF(AND(OR(O87="Being checked",O87="Done",O87="Not needed"),OR(P87="Being checked",P87="Done",P87="Not needed")),"Being checked","In progress")))))</f>
        <v/>
      </c>
      <c r="R87" s="18">
        <f>IFERROR((IF(OR(O87="Not needed",O87="Stuck"),0,INDEX(Settings!$E$5:$E$8,MATCH(O87,Settings!$D$5:$D$8,0)))+IF(OR(P87="Not needed",P87="Stuck"),0,INDEX(Settings!$E$5:$E$8,MATCH(P87,Settings!$D$5:$D$8,0))))/((O87&lt;&gt;"Not needed")+(P87&lt;&gt;"Not needed")),0)</f>
        <v/>
      </c>
      <c r="S87" s="19" t="n"/>
    </row>
    <row r="88">
      <c r="A88" s="20" t="n">
        <v>84</v>
      </c>
      <c r="B88" s="21" t="inlineStr">
        <is>
          <t>LinkedIn and outreach</t>
        </is>
      </c>
      <c r="C88" s="22" t="inlineStr">
        <is>
          <t>Content calendar</t>
        </is>
      </c>
      <c r="D88" s="21" t="inlineStr">
        <is>
          <t>Users plan and schedule their posts.</t>
        </is>
      </c>
      <c r="E88" s="21" t="inlineStr">
        <is>
          <t>Calendar page</t>
        </is>
      </c>
      <c r="F88" s="21" t="inlineStr">
        <is>
          <t>Scheduling and reminders</t>
        </is>
      </c>
      <c r="G88" s="21" t="inlineStr">
        <is>
          <t>Phase 3: Interview practice and LinkedIn</t>
        </is>
      </c>
      <c r="H88" s="20" t="n">
        <v>9</v>
      </c>
      <c r="I88" s="23">
        <f>Settings!$B$5+(H88-1)*7+4</f>
        <v/>
      </c>
      <c r="J88" s="20" t="inlineStr">
        <is>
          <t>Developer B</t>
        </is>
      </c>
      <c r="K88" s="20" t="inlineStr">
        <is>
          <t>Developer B</t>
        </is>
      </c>
      <c r="L88" s="20" t="inlineStr">
        <is>
          <t>Yes</t>
        </is>
      </c>
      <c r="M88" s="21" t="inlineStr">
        <is>
          <t>List of scheduled posts only</t>
        </is>
      </c>
      <c r="N88" s="21" t="inlineStr">
        <is>
          <t>—</t>
        </is>
      </c>
      <c r="O88" s="17" t="inlineStr">
        <is>
          <t>Not started</t>
        </is>
      </c>
      <c r="P88" s="17" t="inlineStr">
        <is>
          <t>Not started</t>
        </is>
      </c>
      <c r="Q88" s="20">
        <f>IF(AND(O88="Not needed",P88="Not needed"),"Not needed",IF(OR(O88="Stuck",P88="Stuck"),"Stuck",IF(AND(OR(O88="Done",O88="Not needed"),OR(P88="Done",P88="Not needed")),"Done",IF(AND(OR(O88="Not started",O88="Not needed"),OR(P88="Not started",P88="Not needed")),"Not started",IF(AND(OR(O88="Being checked",O88="Done",O88="Not needed"),OR(P88="Being checked",P88="Done",P88="Not needed")),"Being checked","In progress")))))</f>
        <v/>
      </c>
      <c r="R88" s="24">
        <f>IFERROR((IF(OR(O88="Not needed",O88="Stuck"),0,INDEX(Settings!$E$5:$E$8,MATCH(O88,Settings!$D$5:$D$8,0)))+IF(OR(P88="Not needed",P88="Stuck"),0,INDEX(Settings!$E$5:$E$8,MATCH(P88,Settings!$D$5:$D$8,0))))/((O88&lt;&gt;"Not needed")+(P88&lt;&gt;"Not needed")),0)</f>
        <v/>
      </c>
      <c r="S88" s="19" t="n"/>
    </row>
    <row r="89">
      <c r="A89" s="13" t="n">
        <v>85</v>
      </c>
      <c r="B89" s="14" t="inlineStr">
        <is>
          <t>LinkedIn and outreach</t>
        </is>
      </c>
      <c r="C89" s="15" t="inlineStr">
        <is>
          <t>Post to LinkedIn</t>
        </is>
      </c>
      <c r="D89" s="14" t="inlineStr">
        <is>
          <t>Posts go to LinkedIn directly, or the user gets a reminder to post by hand.</t>
        </is>
      </c>
      <c r="E89" s="14" t="inlineStr">
        <is>
          <t>Post / copy-to-LinkedIn button</t>
        </is>
      </c>
      <c r="F89" s="14" t="inlineStr">
        <is>
          <t>Connect to LinkedIn once access is approved</t>
        </is>
      </c>
      <c r="G89" s="14" t="inlineStr">
        <is>
          <t>Phase 3: Interview practice and LinkedIn</t>
        </is>
      </c>
      <c r="H89" s="13" t="n">
        <v>9</v>
      </c>
      <c r="I89" s="16">
        <f>Settings!$B$5+(H89-1)*7+4</f>
        <v/>
      </c>
      <c r="J89" s="13" t="inlineStr">
        <is>
          <t>Developer B</t>
        </is>
      </c>
      <c r="K89" s="13" t="inlineStr">
        <is>
          <t>Developer B</t>
        </is>
      </c>
      <c r="L89" s="13" t="inlineStr">
        <is>
          <t>No</t>
        </is>
      </c>
      <c r="M89" s="14" t="inlineStr">
        <is>
          <t>Nothing built yet</t>
        </is>
      </c>
      <c r="N89" s="14" t="inlineStr">
        <is>
          <t>LinkedIn access approval</t>
        </is>
      </c>
      <c r="O89" s="17" t="inlineStr">
        <is>
          <t>Not started</t>
        </is>
      </c>
      <c r="P89" s="17" t="inlineStr">
        <is>
          <t>Not started</t>
        </is>
      </c>
      <c r="Q89" s="13">
        <f>IF(AND(O89="Not needed",P89="Not needed"),"Not needed",IF(OR(O89="Stuck",P89="Stuck"),"Stuck",IF(AND(OR(O89="Done",O89="Not needed"),OR(P89="Done",P89="Not needed")),"Done",IF(AND(OR(O89="Not started",O89="Not needed"),OR(P89="Not started",P89="Not needed")),"Not started",IF(AND(OR(O89="Being checked",O89="Done",O89="Not needed"),OR(P89="Being checked",P89="Done",P89="Not needed")),"Being checked","In progress")))))</f>
        <v/>
      </c>
      <c r="R89" s="18">
        <f>IFERROR((IF(OR(O89="Not needed",O89="Stuck"),0,INDEX(Settings!$E$5:$E$8,MATCH(O89,Settings!$D$5:$D$8,0)))+IF(OR(P89="Not needed",P89="Stuck"),0,INDEX(Settings!$E$5:$E$8,MATCH(P89,Settings!$D$5:$D$8,0))))/((O89&lt;&gt;"Not needed")+(P89&lt;&gt;"Not needed")),0)</f>
        <v/>
      </c>
      <c r="S89" s="19" t="n"/>
    </row>
    <row r="90">
      <c r="A90" s="20" t="n">
        <v>86</v>
      </c>
      <c r="B90" s="21" t="inlineStr">
        <is>
          <t>LinkedIn and outreach</t>
        </is>
      </c>
      <c r="C90" s="22" t="inlineStr">
        <is>
          <t>Messages to recruiters</t>
        </is>
      </c>
      <c r="D90" s="21" t="inlineStr">
        <is>
          <t>Users get messages to recruiters in their own voice.</t>
        </is>
      </c>
      <c r="E90" s="21" t="inlineStr">
        <is>
          <t>Message writer</t>
        </is>
      </c>
      <c r="F90" s="21" t="inlineStr">
        <is>
          <t>Write messages</t>
        </is>
      </c>
      <c r="G90" s="21" t="inlineStr">
        <is>
          <t>Phase 3: Interview practice and LinkedIn</t>
        </is>
      </c>
      <c r="H90" s="20" t="n">
        <v>9</v>
      </c>
      <c r="I90" s="23">
        <f>Settings!$B$5+(H90-1)*7+4</f>
        <v/>
      </c>
      <c r="J90" s="20" t="inlineStr">
        <is>
          <t>Developer B</t>
        </is>
      </c>
      <c r="K90" s="20" t="inlineStr">
        <is>
          <t>Developer A</t>
        </is>
      </c>
      <c r="L90" s="20" t="inlineStr">
        <is>
          <t>Yes</t>
        </is>
      </c>
      <c r="M90" s="21" t="inlineStr">
        <is>
          <t>One sample draft</t>
        </is>
      </c>
      <c r="N90" s="21" t="inlineStr">
        <is>
          <t>—</t>
        </is>
      </c>
      <c r="O90" s="17" t="inlineStr">
        <is>
          <t>Not started</t>
        </is>
      </c>
      <c r="P90" s="17" t="inlineStr">
        <is>
          <t>Not started</t>
        </is>
      </c>
      <c r="Q90" s="20">
        <f>IF(AND(O90="Not needed",P90="Not needed"),"Not needed",IF(OR(O90="Stuck",P90="Stuck"),"Stuck",IF(AND(OR(O90="Done",O90="Not needed"),OR(P90="Done",P90="Not needed")),"Done",IF(AND(OR(O90="Not started",O90="Not needed"),OR(P90="Not started",P90="Not needed")),"Not started",IF(AND(OR(O90="Being checked",O90="Done",O90="Not needed"),OR(P90="Being checked",P90="Done",P90="Not needed")),"Being checked","In progress")))))</f>
        <v/>
      </c>
      <c r="R90" s="24">
        <f>IFERROR((IF(OR(O90="Not needed",O90="Stuck"),0,INDEX(Settings!$E$5:$E$8,MATCH(O90,Settings!$D$5:$D$8,0)))+IF(OR(P90="Not needed",P90="Stuck"),0,INDEX(Settings!$E$5:$E$8,MATCH(P90,Settings!$D$5:$D$8,0))))/((O90&lt;&gt;"Not needed")+(P90&lt;&gt;"Not needed")),0)</f>
        <v/>
      </c>
      <c r="S90" s="19" t="n"/>
    </row>
    <row r="91">
      <c r="A91" s="13" t="n">
        <v>87</v>
      </c>
      <c r="B91" s="14" t="inlineStr">
        <is>
          <t>LinkedIn and outreach</t>
        </is>
      </c>
      <c r="C91" s="15" t="inlineStr">
        <is>
          <t>Referral requests</t>
        </is>
      </c>
      <c r="D91" s="14" t="inlineStr">
        <is>
          <t>Users get messages asking contacts for referrals.</t>
        </is>
      </c>
      <c r="E91" s="14" t="inlineStr">
        <is>
          <t>Message writer</t>
        </is>
      </c>
      <c r="F91" s="14" t="inlineStr">
        <is>
          <t>Write messages</t>
        </is>
      </c>
      <c r="G91" s="14" t="inlineStr">
        <is>
          <t>Phase 3: Interview practice and LinkedIn</t>
        </is>
      </c>
      <c r="H91" s="13" t="n">
        <v>9</v>
      </c>
      <c r="I91" s="16">
        <f>Settings!$B$5+(H91-1)*7+4</f>
        <v/>
      </c>
      <c r="J91" s="13" t="inlineStr">
        <is>
          <t>Developer B</t>
        </is>
      </c>
      <c r="K91" s="13" t="inlineStr">
        <is>
          <t>Developer A</t>
        </is>
      </c>
      <c r="L91" s="13" t="inlineStr">
        <is>
          <t>Yes</t>
        </is>
      </c>
      <c r="M91" s="14" t="inlineStr">
        <is>
          <t>Nothing built yet</t>
        </is>
      </c>
      <c r="N91" s="14" t="inlineStr">
        <is>
          <t>—</t>
        </is>
      </c>
      <c r="O91" s="17" t="inlineStr">
        <is>
          <t>Not started</t>
        </is>
      </c>
      <c r="P91" s="17" t="inlineStr">
        <is>
          <t>Not started</t>
        </is>
      </c>
      <c r="Q91" s="13">
        <f>IF(AND(O91="Not needed",P91="Not needed"),"Not needed",IF(OR(O91="Stuck",P91="Stuck"),"Stuck",IF(AND(OR(O91="Done",O91="Not needed"),OR(P91="Done",P91="Not needed")),"Done",IF(AND(OR(O91="Not started",O91="Not needed"),OR(P91="Not started",P91="Not needed")),"Not started",IF(AND(OR(O91="Being checked",O91="Done",O91="Not needed"),OR(P91="Being checked",P91="Done",P91="Not needed")),"Being checked","In progress")))))</f>
        <v/>
      </c>
      <c r="R91" s="18">
        <f>IFERROR((IF(OR(O91="Not needed",O91="Stuck"),0,INDEX(Settings!$E$5:$E$8,MATCH(O91,Settings!$D$5:$D$8,0)))+IF(OR(P91="Not needed",P91="Stuck"),0,INDEX(Settings!$E$5:$E$8,MATCH(P91,Settings!$D$5:$D$8,0))))/((O91&lt;&gt;"Not needed")+(P91&lt;&gt;"Not needed")),0)</f>
        <v/>
      </c>
      <c r="S91" s="19" t="n"/>
    </row>
    <row r="92">
      <c r="A92" s="20" t="n">
        <v>88</v>
      </c>
      <c r="B92" s="21" t="inlineStr">
        <is>
          <t>LinkedIn and outreach</t>
        </is>
      </c>
      <c r="C92" s="22" t="inlineStr">
        <is>
          <t>Networking messages</t>
        </is>
      </c>
      <c r="D92" s="21" t="inlineStr">
        <is>
          <t>Users get messages for building their network.</t>
        </is>
      </c>
      <c r="E92" s="21" t="inlineStr">
        <is>
          <t>Message writer</t>
        </is>
      </c>
      <c r="F92" s="21" t="inlineStr">
        <is>
          <t>Write messages</t>
        </is>
      </c>
      <c r="G92" s="21" t="inlineStr">
        <is>
          <t>Phase 3: Interview practice and LinkedIn</t>
        </is>
      </c>
      <c r="H92" s="20" t="n">
        <v>9</v>
      </c>
      <c r="I92" s="23">
        <f>Settings!$B$5+(H92-1)*7+4</f>
        <v/>
      </c>
      <c r="J92" s="20" t="inlineStr">
        <is>
          <t>Developer B</t>
        </is>
      </c>
      <c r="K92" s="20" t="inlineStr">
        <is>
          <t>Developer A</t>
        </is>
      </c>
      <c r="L92" s="20" t="inlineStr">
        <is>
          <t>No</t>
        </is>
      </c>
      <c r="M92" s="21" t="inlineStr">
        <is>
          <t>Nothing built yet</t>
        </is>
      </c>
      <c r="N92" s="21" t="inlineStr">
        <is>
          <t>—</t>
        </is>
      </c>
      <c r="O92" s="17" t="inlineStr">
        <is>
          <t>Not started</t>
        </is>
      </c>
      <c r="P92" s="17" t="inlineStr">
        <is>
          <t>Not started</t>
        </is>
      </c>
      <c r="Q92" s="20">
        <f>IF(AND(O92="Not needed",P92="Not needed"),"Not needed",IF(OR(O92="Stuck",P92="Stuck"),"Stuck",IF(AND(OR(O92="Done",O92="Not needed"),OR(P92="Done",P92="Not needed")),"Done",IF(AND(OR(O92="Not started",O92="Not needed"),OR(P92="Not started",P92="Not needed")),"Not started",IF(AND(OR(O92="Being checked",O92="Done",O92="Not needed"),OR(P92="Being checked",P92="Done",P92="Not needed")),"Being checked","In progress")))))</f>
        <v/>
      </c>
      <c r="R92" s="24">
        <f>IFERROR((IF(OR(O92="Not needed",O92="Stuck"),0,INDEX(Settings!$E$5:$E$8,MATCH(O92,Settings!$D$5:$D$8,0)))+IF(OR(P92="Not needed",P92="Stuck"),0,INDEX(Settings!$E$5:$E$8,MATCH(P92,Settings!$D$5:$D$8,0))))/((O92&lt;&gt;"Not needed")+(P92&lt;&gt;"Not needed")),0)</f>
        <v/>
      </c>
      <c r="S92" s="19" t="n"/>
    </row>
    <row r="93">
      <c r="A93" s="13" t="n">
        <v>89</v>
      </c>
      <c r="B93" s="14" t="inlineStr">
        <is>
          <t>LinkedIn and outreach</t>
        </is>
      </c>
      <c r="C93" s="15" t="inlineStr">
        <is>
          <t>Follow-up reminders</t>
        </is>
      </c>
      <c r="D93" s="14" t="inlineStr">
        <is>
          <t>Users are reminded to follow up at the right time.</t>
        </is>
      </c>
      <c r="E93" s="14" t="inlineStr">
        <is>
          <t>Reminder list</t>
        </is>
      </c>
      <c r="F93" s="14" t="inlineStr">
        <is>
          <t>Schedule follow-ups</t>
        </is>
      </c>
      <c r="G93" s="14" t="inlineStr">
        <is>
          <t>Phase 3: Interview practice and LinkedIn</t>
        </is>
      </c>
      <c r="H93" s="13" t="n">
        <v>9</v>
      </c>
      <c r="I93" s="16">
        <f>Settings!$B$5+(H93-1)*7+4</f>
        <v/>
      </c>
      <c r="J93" s="13" t="inlineStr">
        <is>
          <t>Developer B</t>
        </is>
      </c>
      <c r="K93" s="13" t="inlineStr">
        <is>
          <t>Developer B</t>
        </is>
      </c>
      <c r="L93" s="13" t="inlineStr">
        <is>
          <t>Yes</t>
        </is>
      </c>
      <c r="M93" s="14" t="inlineStr">
        <is>
          <t>Nothing built yet</t>
        </is>
      </c>
      <c r="N93" s="14" t="inlineStr">
        <is>
          <t>—</t>
        </is>
      </c>
      <c r="O93" s="17" t="inlineStr">
        <is>
          <t>Not started</t>
        </is>
      </c>
      <c r="P93" s="17" t="inlineStr">
        <is>
          <t>Not started</t>
        </is>
      </c>
      <c r="Q93" s="13">
        <f>IF(AND(O93="Not needed",P93="Not needed"),"Not needed",IF(OR(O93="Stuck",P93="Stuck"),"Stuck",IF(AND(OR(O93="Done",O93="Not needed"),OR(P93="Done",P93="Not needed")),"Done",IF(AND(OR(O93="Not started",O93="Not needed"),OR(P93="Not started",P93="Not needed")),"Not started",IF(AND(OR(O93="Being checked",O93="Done",O93="Not needed"),OR(P93="Being checked",P93="Done",P93="Not needed")),"Being checked","In progress")))))</f>
        <v/>
      </c>
      <c r="R93" s="18">
        <f>IFERROR((IF(OR(O93="Not needed",O93="Stuck"),0,INDEX(Settings!$E$5:$E$8,MATCH(O93,Settings!$D$5:$D$8,0)))+IF(OR(P93="Not needed",P93="Stuck"),0,INDEX(Settings!$E$5:$E$8,MATCH(P93,Settings!$D$5:$D$8,0))))/((O93&lt;&gt;"Not needed")+(P93&lt;&gt;"Not needed")),0)</f>
        <v/>
      </c>
      <c r="S93" s="19" t="n"/>
    </row>
    <row r="94">
      <c r="A94" s="20" t="n">
        <v>90</v>
      </c>
      <c r="B94" s="21" t="inlineStr">
        <is>
          <t>LinkedIn and outreach</t>
        </is>
      </c>
      <c r="C94" s="22" t="inlineStr">
        <is>
          <t>See who replied</t>
        </is>
      </c>
      <c r="D94" s="21" t="inlineStr">
        <is>
          <t>Users track replies to their outreach.</t>
        </is>
      </c>
      <c r="E94" s="21" t="inlineStr">
        <is>
          <t>Campaign board</t>
        </is>
      </c>
      <c r="F94" s="21" t="inlineStr">
        <is>
          <t>Save campaigns and replies</t>
        </is>
      </c>
      <c r="G94" s="21" t="inlineStr">
        <is>
          <t>Phase 3: Interview practice and LinkedIn</t>
        </is>
      </c>
      <c r="H94" s="20" t="n">
        <v>9</v>
      </c>
      <c r="I94" s="23">
        <f>Settings!$B$5+(H94-1)*7+4</f>
        <v/>
      </c>
      <c r="J94" s="20" t="inlineStr">
        <is>
          <t>Developer B</t>
        </is>
      </c>
      <c r="K94" s="20" t="inlineStr">
        <is>
          <t>Developer B</t>
        </is>
      </c>
      <c r="L94" s="20" t="inlineStr">
        <is>
          <t>No</t>
        </is>
      </c>
      <c r="M94" s="21" t="inlineStr">
        <is>
          <t>Made-up sample campaigns</t>
        </is>
      </c>
      <c r="N94" s="21" t="inlineStr">
        <is>
          <t>—</t>
        </is>
      </c>
      <c r="O94" s="17" t="inlineStr">
        <is>
          <t>Not started</t>
        </is>
      </c>
      <c r="P94" s="17" t="inlineStr">
        <is>
          <t>Not started</t>
        </is>
      </c>
      <c r="Q94" s="20">
        <f>IF(AND(O94="Not needed",P94="Not needed"),"Not needed",IF(OR(O94="Stuck",P94="Stuck"),"Stuck",IF(AND(OR(O94="Done",O94="Not needed"),OR(P94="Done",P94="Not needed")),"Done",IF(AND(OR(O94="Not started",O94="Not needed"),OR(P94="Not started",P94="Not needed")),"Not started",IF(AND(OR(O94="Being checked",O94="Done",O94="Not needed"),OR(P94="Being checked",P94="Done",P94="Not needed")),"Being checked","In progress")))))</f>
        <v/>
      </c>
      <c r="R94" s="24">
        <f>IFERROR((IF(OR(O94="Not needed",O94="Stuck"),0,INDEX(Settings!$E$5:$E$8,MATCH(O94,Settings!$D$5:$D$8,0)))+IF(OR(P94="Not needed",P94="Stuck"),0,INDEX(Settings!$E$5:$E$8,MATCH(P94,Settings!$D$5:$D$8,0))))/((O94&lt;&gt;"Not needed")+(P94&lt;&gt;"Not needed")),0)</f>
        <v/>
      </c>
      <c r="S94" s="19" t="n"/>
    </row>
    <row r="95">
      <c r="A95" s="13" t="n">
        <v>91</v>
      </c>
      <c r="B95" s="14" t="inlineStr">
        <is>
          <t>Progress tracking</t>
        </is>
      </c>
      <c r="C95" s="15" t="inlineStr">
        <is>
          <t>Track applications through to offers</t>
        </is>
      </c>
      <c r="D95" s="14" t="inlineStr">
        <is>
          <t>Users track every application: applied, interview, offer.</t>
        </is>
      </c>
      <c r="E95" s="14" t="inlineStr">
        <is>
          <t>Application board</t>
        </is>
      </c>
      <c r="F95" s="14" t="inlineStr">
        <is>
          <t>Save each application's stage</t>
        </is>
      </c>
      <c r="G95" s="14" t="inlineStr">
        <is>
          <t>Phase 4: Progress tracking and organisations</t>
        </is>
      </c>
      <c r="H95" s="13" t="n">
        <v>10</v>
      </c>
      <c r="I95" s="16">
        <f>Settings!$B$5+(H95-1)*7+4</f>
        <v/>
      </c>
      <c r="J95" s="13" t="inlineStr">
        <is>
          <t>Developer B</t>
        </is>
      </c>
      <c r="K95" s="13" t="inlineStr">
        <is>
          <t>Developer B</t>
        </is>
      </c>
      <c r="L95" s="13" t="inlineStr">
        <is>
          <t>Yes</t>
        </is>
      </c>
      <c r="M95" s="14" t="inlineStr">
        <is>
          <t>Stages are saved</t>
        </is>
      </c>
      <c r="N95" s="14" t="inlineStr">
        <is>
          <t>—</t>
        </is>
      </c>
      <c r="O95" s="17" t="inlineStr">
        <is>
          <t>Not started</t>
        </is>
      </c>
      <c r="P95" s="17" t="inlineStr">
        <is>
          <t>Not started</t>
        </is>
      </c>
      <c r="Q95" s="13">
        <f>IF(AND(O95="Not needed",P95="Not needed"),"Not needed",IF(OR(O95="Stuck",P95="Stuck"),"Stuck",IF(AND(OR(O95="Done",O95="Not needed"),OR(P95="Done",P95="Not needed")),"Done",IF(AND(OR(O95="Not started",O95="Not needed"),OR(P95="Not started",P95="Not needed")),"Not started",IF(AND(OR(O95="Being checked",O95="Done",O95="Not needed"),OR(P95="Being checked",P95="Done",P95="Not needed")),"Being checked","In progress")))))</f>
        <v/>
      </c>
      <c r="R95" s="18">
        <f>IFERROR((IF(OR(O95="Not needed",O95="Stuck"),0,INDEX(Settings!$E$5:$E$8,MATCH(O95,Settings!$D$5:$D$8,0)))+IF(OR(P95="Not needed",P95="Stuck"),0,INDEX(Settings!$E$5:$E$8,MATCH(P95,Settings!$D$5:$D$8,0))))/((O95&lt;&gt;"Not needed")+(P95&lt;&gt;"Not needed")),0)</f>
        <v/>
      </c>
      <c r="S95" s="19" t="n"/>
    </row>
    <row r="96">
      <c r="A96" s="20" t="n">
        <v>92</v>
      </c>
      <c r="B96" s="21" t="inlineStr">
        <is>
          <t>Progress tracking</t>
        </is>
      </c>
      <c r="C96" s="22" t="inlineStr">
        <is>
          <t>Career progress</t>
        </is>
      </c>
      <c r="D96" s="21" t="inlineStr">
        <is>
          <t>Users see their progress towards their target role.</t>
        </is>
      </c>
      <c r="E96" s="21" t="inlineStr">
        <is>
          <t>Progress timeline</t>
        </is>
      </c>
      <c r="F96" s="21" t="inlineStr">
        <is>
          <t>Work out progress</t>
        </is>
      </c>
      <c r="G96" s="21" t="inlineStr">
        <is>
          <t>Phase 4: Progress tracking and organisations</t>
        </is>
      </c>
      <c r="H96" s="20" t="n">
        <v>10</v>
      </c>
      <c r="I96" s="23">
        <f>Settings!$B$5+(H96-1)*7+4</f>
        <v/>
      </c>
      <c r="J96" s="20" t="inlineStr">
        <is>
          <t>Developer B</t>
        </is>
      </c>
      <c r="K96" s="20" t="inlineStr">
        <is>
          <t>Developer A</t>
        </is>
      </c>
      <c r="L96" s="20" t="inlineStr">
        <is>
          <t>Yes</t>
        </is>
      </c>
      <c r="M96" s="21" t="inlineStr">
        <is>
          <t>Nothing built yet</t>
        </is>
      </c>
      <c r="N96" s="21" t="inlineStr">
        <is>
          <t>—</t>
        </is>
      </c>
      <c r="O96" s="17" t="inlineStr">
        <is>
          <t>Not started</t>
        </is>
      </c>
      <c r="P96" s="17" t="inlineStr">
        <is>
          <t>Not started</t>
        </is>
      </c>
      <c r="Q96" s="20">
        <f>IF(AND(O96="Not needed",P96="Not needed"),"Not needed",IF(OR(O96="Stuck",P96="Stuck"),"Stuck",IF(AND(OR(O96="Done",O96="Not needed"),OR(P96="Done",P96="Not needed")),"Done",IF(AND(OR(O96="Not started",O96="Not needed"),OR(P96="Not started",P96="Not needed")),"Not started",IF(AND(OR(O96="Being checked",O96="Done",O96="Not needed"),OR(P96="Being checked",P96="Done",P96="Not needed")),"Being checked","In progress")))))</f>
        <v/>
      </c>
      <c r="R96" s="24">
        <f>IFERROR((IF(OR(O96="Not needed",O96="Stuck"),0,INDEX(Settings!$E$5:$E$8,MATCH(O96,Settings!$D$5:$D$8,0)))+IF(OR(P96="Not needed",P96="Stuck"),0,INDEX(Settings!$E$5:$E$8,MATCH(P96,Settings!$D$5:$D$8,0))))/((O96&lt;&gt;"Not needed")+(P96&lt;&gt;"Not needed")),0)</f>
        <v/>
      </c>
      <c r="S96" s="19" t="n"/>
    </row>
    <row r="97">
      <c r="A97" s="13" t="n">
        <v>93</v>
      </c>
      <c r="B97" s="14" t="inlineStr">
        <is>
          <t>Progress tracking</t>
        </is>
      </c>
      <c r="C97" s="15" t="inlineStr">
        <is>
          <t>Interview results over time</t>
        </is>
      </c>
      <c r="D97" s="14" t="inlineStr">
        <is>
          <t>Users see how their interview scores are changing.</t>
        </is>
      </c>
      <c r="E97" s="14" t="inlineStr">
        <is>
          <t>Charts</t>
        </is>
      </c>
      <c r="F97" s="14" t="inlineStr">
        <is>
          <t>Combine interview results</t>
        </is>
      </c>
      <c r="G97" s="14" t="inlineStr">
        <is>
          <t>Phase 4: Progress tracking and organisations</t>
        </is>
      </c>
      <c r="H97" s="13" t="n">
        <v>10</v>
      </c>
      <c r="I97" s="16">
        <f>Settings!$B$5+(H97-1)*7+4</f>
        <v/>
      </c>
      <c r="J97" s="13" t="inlineStr">
        <is>
          <t>Developer B</t>
        </is>
      </c>
      <c r="K97" s="13" t="inlineStr">
        <is>
          <t>Developer A</t>
        </is>
      </c>
      <c r="L97" s="13" t="inlineStr">
        <is>
          <t>Yes</t>
        </is>
      </c>
      <c r="M97" s="14" t="inlineStr">
        <is>
          <t>Nothing built yet</t>
        </is>
      </c>
      <c r="N97" s="14" t="inlineStr">
        <is>
          <t>—</t>
        </is>
      </c>
      <c r="O97" s="17" t="inlineStr">
        <is>
          <t>Not started</t>
        </is>
      </c>
      <c r="P97" s="17" t="inlineStr">
        <is>
          <t>Not started</t>
        </is>
      </c>
      <c r="Q97" s="13">
        <f>IF(AND(O97="Not needed",P97="Not needed"),"Not needed",IF(OR(O97="Stuck",P97="Stuck"),"Stuck",IF(AND(OR(O97="Done",O97="Not needed"),OR(P97="Done",P97="Not needed")),"Done",IF(AND(OR(O97="Not started",O97="Not needed"),OR(P97="Not started",P97="Not needed")),"Not started",IF(AND(OR(O97="Being checked",O97="Done",O97="Not needed"),OR(P97="Being checked",P97="Done",P97="Not needed")),"Being checked","In progress")))))</f>
        <v/>
      </c>
      <c r="R97" s="18">
        <f>IFERROR((IF(OR(O97="Not needed",O97="Stuck"),0,INDEX(Settings!$E$5:$E$8,MATCH(O97,Settings!$D$5:$D$8,0)))+IF(OR(P97="Not needed",P97="Stuck"),0,INDEX(Settings!$E$5:$E$8,MATCH(P97,Settings!$D$5:$D$8,0))))/((O97&lt;&gt;"Not needed")+(P97&lt;&gt;"Not needed")),0)</f>
        <v/>
      </c>
      <c r="S97" s="19" t="n"/>
    </row>
    <row r="98">
      <c r="A98" s="20" t="n">
        <v>94</v>
      </c>
      <c r="B98" s="21" t="inlineStr">
        <is>
          <t>Progress tracking</t>
        </is>
      </c>
      <c r="C98" s="22" t="inlineStr">
        <is>
          <t>How many applications turn into interviews and offers</t>
        </is>
      </c>
      <c r="D98" s="21" t="inlineStr">
        <is>
          <t>Users see their success rate at each stage.</t>
        </is>
      </c>
      <c r="E98" s="21" t="inlineStr">
        <is>
          <t>Funnel chart</t>
        </is>
      </c>
      <c r="F98" s="21" t="inlineStr">
        <is>
          <t>Calculate the rates</t>
        </is>
      </c>
      <c r="G98" s="21" t="inlineStr">
        <is>
          <t>Phase 4: Progress tracking and organisations</t>
        </is>
      </c>
      <c r="H98" s="20" t="n">
        <v>10</v>
      </c>
      <c r="I98" s="23">
        <f>Settings!$B$5+(H98-1)*7+4</f>
        <v/>
      </c>
      <c r="J98" s="20" t="inlineStr">
        <is>
          <t>Developer B</t>
        </is>
      </c>
      <c r="K98" s="20" t="inlineStr">
        <is>
          <t>Developer A</t>
        </is>
      </c>
      <c r="L98" s="20" t="inlineStr">
        <is>
          <t>Yes</t>
        </is>
      </c>
      <c r="M98" s="21" t="inlineStr">
        <is>
          <t>Calculated on made-up data</t>
        </is>
      </c>
      <c r="N98" s="21" t="inlineStr">
        <is>
          <t>—</t>
        </is>
      </c>
      <c r="O98" s="17" t="inlineStr">
        <is>
          <t>Not started</t>
        </is>
      </c>
      <c r="P98" s="17" t="inlineStr">
        <is>
          <t>Not started</t>
        </is>
      </c>
      <c r="Q98" s="20">
        <f>IF(AND(O98="Not needed",P98="Not needed"),"Not needed",IF(OR(O98="Stuck",P98="Stuck"),"Stuck",IF(AND(OR(O98="Done",O98="Not needed"),OR(P98="Done",P98="Not needed")),"Done",IF(AND(OR(O98="Not started",O98="Not needed"),OR(P98="Not started",P98="Not needed")),"Not started",IF(AND(OR(O98="Being checked",O98="Done",O98="Not needed"),OR(P98="Being checked",P98="Done",P98="Not needed")),"Being checked","In progress")))))</f>
        <v/>
      </c>
      <c r="R98" s="24">
        <f>IFERROR((IF(OR(O98="Not needed",O98="Stuck"),0,INDEX(Settings!$E$5:$E$8,MATCH(O98,Settings!$D$5:$D$8,0)))+IF(OR(P98="Not needed",P98="Stuck"),0,INDEX(Settings!$E$5:$E$8,MATCH(P98,Settings!$D$5:$D$8,0))))/((O98&lt;&gt;"Not needed")+(P98&lt;&gt;"Not needed")),0)</f>
        <v/>
      </c>
      <c r="S98" s="19" t="n"/>
    </row>
    <row r="99">
      <c r="A99" s="13" t="n">
        <v>95</v>
      </c>
      <c r="B99" s="14" t="inlineStr">
        <is>
          <t>Progress tracking</t>
        </is>
      </c>
      <c r="C99" s="15" t="inlineStr">
        <is>
          <t>Readiness over time</t>
        </is>
      </c>
      <c r="D99" s="14" t="inlineStr">
        <is>
          <t>Users see their readiness score history.</t>
        </is>
      </c>
      <c r="E99" s="14" t="inlineStr">
        <is>
          <t>History chart</t>
        </is>
      </c>
      <c r="F99" s="14" t="inlineStr">
        <is>
          <t>Save score snapshots</t>
        </is>
      </c>
      <c r="G99" s="14" t="inlineStr">
        <is>
          <t>Phase 4: Progress tracking and organisations</t>
        </is>
      </c>
      <c r="H99" s="13" t="n">
        <v>10</v>
      </c>
      <c r="I99" s="16">
        <f>Settings!$B$5+(H99-1)*7+4</f>
        <v/>
      </c>
      <c r="J99" s="13" t="inlineStr">
        <is>
          <t>Developer B</t>
        </is>
      </c>
      <c r="K99" s="13" t="inlineStr">
        <is>
          <t>Developer A</t>
        </is>
      </c>
      <c r="L99" s="13" t="inlineStr">
        <is>
          <t>No</t>
        </is>
      </c>
      <c r="M99" s="14" t="inlineStr">
        <is>
          <t>Nothing built yet</t>
        </is>
      </c>
      <c r="N99" s="14" t="inlineStr">
        <is>
          <t>—</t>
        </is>
      </c>
      <c r="O99" s="17" t="inlineStr">
        <is>
          <t>Not started</t>
        </is>
      </c>
      <c r="P99" s="17" t="inlineStr">
        <is>
          <t>Not started</t>
        </is>
      </c>
      <c r="Q99" s="13">
        <f>IF(AND(O99="Not needed",P99="Not needed"),"Not needed",IF(OR(O99="Stuck",P99="Stuck"),"Stuck",IF(AND(OR(O99="Done",O99="Not needed"),OR(P99="Done",P99="Not needed")),"Done",IF(AND(OR(O99="Not started",O99="Not needed"),OR(P99="Not started",P99="Not needed")),"Not started",IF(AND(OR(O99="Being checked",O99="Done",O99="Not needed"),OR(P99="Being checked",P99="Done",P99="Not needed")),"Being checked","In progress")))))</f>
        <v/>
      </c>
      <c r="R99" s="18">
        <f>IFERROR((IF(OR(O99="Not needed",O99="Stuck"),0,INDEX(Settings!$E$5:$E$8,MATCH(O99,Settings!$D$5:$D$8,0)))+IF(OR(P99="Not needed",P99="Stuck"),0,INDEX(Settings!$E$5:$E$8,MATCH(P99,Settings!$D$5:$D$8,0))))/((O99&lt;&gt;"Not needed")+(P99&lt;&gt;"Not needed")),0)</f>
        <v/>
      </c>
      <c r="S99" s="19" t="n"/>
    </row>
    <row r="100">
      <c r="A100" s="20" t="n">
        <v>96</v>
      </c>
      <c r="B100" s="21" t="inlineStr">
        <is>
          <t>Progress tracking</t>
        </is>
      </c>
      <c r="C100" s="22" t="inlineStr">
        <is>
          <t>Is my LinkedIn activity working</t>
        </is>
      </c>
      <c r="D100" s="21" t="inlineStr">
        <is>
          <t>Users see whether their posts are raising their visibility.</t>
        </is>
      </c>
      <c r="E100" s="21" t="inlineStr">
        <is>
          <t>LinkedIn results panel</t>
        </is>
      </c>
      <c r="F100" s="21" t="inlineStr">
        <is>
          <t>Track results (typed in by hand until LinkedIn access is approved)</t>
        </is>
      </c>
      <c r="G100" s="21" t="inlineStr">
        <is>
          <t>Phase 4: Progress tracking and organisations</t>
        </is>
      </c>
      <c r="H100" s="20" t="n">
        <v>10</v>
      </c>
      <c r="I100" s="23">
        <f>Settings!$B$5+(H100-1)*7+4</f>
        <v/>
      </c>
      <c r="J100" s="20" t="inlineStr">
        <is>
          <t>Developer B</t>
        </is>
      </c>
      <c r="K100" s="20" t="inlineStr">
        <is>
          <t>Developer A</t>
        </is>
      </c>
      <c r="L100" s="20" t="inlineStr">
        <is>
          <t>No</t>
        </is>
      </c>
      <c r="M100" s="21" t="inlineStr">
        <is>
          <t>Random made-up figures</t>
        </is>
      </c>
      <c r="N100" s="21" t="inlineStr">
        <is>
          <t>LinkedIn access approval</t>
        </is>
      </c>
      <c r="O100" s="17" t="inlineStr">
        <is>
          <t>Not started</t>
        </is>
      </c>
      <c r="P100" s="17" t="inlineStr">
        <is>
          <t>Not started</t>
        </is>
      </c>
      <c r="Q100" s="20">
        <f>IF(AND(O100="Not needed",P100="Not needed"),"Not needed",IF(OR(O100="Stuck",P100="Stuck"),"Stuck",IF(AND(OR(O100="Done",O100="Not needed"),OR(P100="Done",P100="Not needed")),"Done",IF(AND(OR(O100="Not started",O100="Not needed"),OR(P100="Not started",P100="Not needed")),"Not started",IF(AND(OR(O100="Being checked",O100="Done",O100="Not needed"),OR(P100="Being checked",P100="Done",P100="Not needed")),"Being checked","In progress")))))</f>
        <v/>
      </c>
      <c r="R100" s="24">
        <f>IFERROR((IF(OR(O100="Not needed",O100="Stuck"),0,INDEX(Settings!$E$5:$E$8,MATCH(O100,Settings!$D$5:$D$8,0)))+IF(OR(P100="Not needed",P100="Stuck"),0,INDEX(Settings!$E$5:$E$8,MATCH(P100,Settings!$D$5:$D$8,0))))/((O100&lt;&gt;"Not needed")+(P100&lt;&gt;"Not needed")),0)</f>
        <v/>
      </c>
      <c r="S100" s="19" t="n"/>
    </row>
    <row r="101">
      <c r="A101" s="13" t="n">
        <v>97</v>
      </c>
      <c r="B101" s="14" t="inlineStr">
        <is>
          <t>Progress tracking</t>
        </is>
      </c>
      <c r="C101" s="15" t="inlineStr">
        <is>
          <t>Progress dashboard</t>
        </is>
      </c>
      <c r="D101" s="14" t="inlineStr">
        <is>
          <t>One page showing all of the user's progress.</t>
        </is>
      </c>
      <c r="E101" s="14" t="inlineStr">
        <is>
          <t>Progress dashboard</t>
        </is>
      </c>
      <c r="F101" s="14" t="inlineStr">
        <is>
          <t>Summarise progress</t>
        </is>
      </c>
      <c r="G101" s="14" t="inlineStr">
        <is>
          <t>Phase 4: Progress tracking and organisations</t>
        </is>
      </c>
      <c r="H101" s="13" t="n">
        <v>10</v>
      </c>
      <c r="I101" s="16">
        <f>Settings!$B$5+(H101-1)*7+4</f>
        <v/>
      </c>
      <c r="J101" s="13" t="inlineStr">
        <is>
          <t>Developer B</t>
        </is>
      </c>
      <c r="K101" s="13" t="inlineStr">
        <is>
          <t>Developer A</t>
        </is>
      </c>
      <c r="L101" s="13" t="inlineStr">
        <is>
          <t>Yes</t>
        </is>
      </c>
      <c r="M101" s="14" t="inlineStr">
        <is>
          <t>Nothing built yet</t>
        </is>
      </c>
      <c r="N101" s="14" t="inlineStr">
        <is>
          <t>—</t>
        </is>
      </c>
      <c r="O101" s="17" t="inlineStr">
        <is>
          <t>Not started</t>
        </is>
      </c>
      <c r="P101" s="17" t="inlineStr">
        <is>
          <t>Not started</t>
        </is>
      </c>
      <c r="Q101" s="13">
        <f>IF(AND(O101="Not needed",P101="Not needed"),"Not needed",IF(OR(O101="Stuck",P101="Stuck"),"Stuck",IF(AND(OR(O101="Done",O101="Not needed"),OR(P101="Done",P101="Not needed")),"Done",IF(AND(OR(O101="Not started",O101="Not needed"),OR(P101="Not started",P101="Not needed")),"Not started",IF(AND(OR(O101="Being checked",O101="Done",O101="Not needed"),OR(P101="Being checked",P101="Done",P101="Not needed")),"Being checked","In progress")))))</f>
        <v/>
      </c>
      <c r="R101" s="18">
        <f>IFERROR((IF(OR(O101="Not needed",O101="Stuck"),0,INDEX(Settings!$E$5:$E$8,MATCH(O101,Settings!$D$5:$D$8,0)))+IF(OR(P101="Not needed",P101="Stuck"),0,INDEX(Settings!$E$5:$E$8,MATCH(P101,Settings!$D$5:$D$8,0))))/((O101&lt;&gt;"Not needed")+(P101&lt;&gt;"Not needed")),0)</f>
        <v/>
      </c>
      <c r="S101" s="19" t="n"/>
    </row>
    <row r="102">
      <c r="A102" s="20" t="n">
        <v>98</v>
      </c>
      <c r="B102" s="21" t="inlineStr">
        <is>
          <t>Progress tracking</t>
        </is>
      </c>
      <c r="C102" s="22" t="inlineStr">
        <is>
          <t>What to do next</t>
        </is>
      </c>
      <c r="D102" s="21" t="inlineStr">
        <is>
          <t>Users get suggestions for improving their chances.</t>
        </is>
      </c>
      <c r="E102" s="21" t="inlineStr">
        <is>
          <t>Suggestions list</t>
        </is>
      </c>
      <c r="F102" s="21" t="inlineStr">
        <is>
          <t>Create suggestions</t>
        </is>
      </c>
      <c r="G102" s="21" t="inlineStr">
        <is>
          <t>Phase 4: Progress tracking and organisations</t>
        </is>
      </c>
      <c r="H102" s="20" t="n">
        <v>10</v>
      </c>
      <c r="I102" s="23">
        <f>Settings!$B$5+(H102-1)*7+4</f>
        <v/>
      </c>
      <c r="J102" s="20" t="inlineStr">
        <is>
          <t>Developer B</t>
        </is>
      </c>
      <c r="K102" s="20" t="inlineStr">
        <is>
          <t>Developer A</t>
        </is>
      </c>
      <c r="L102" s="20" t="inlineStr">
        <is>
          <t>Yes</t>
        </is>
      </c>
      <c r="M102" s="21" t="inlineStr">
        <is>
          <t>Fixed text</t>
        </is>
      </c>
      <c r="N102" s="21" t="inlineStr">
        <is>
          <t>—</t>
        </is>
      </c>
      <c r="O102" s="17" t="inlineStr">
        <is>
          <t>Not started</t>
        </is>
      </c>
      <c r="P102" s="17" t="inlineStr">
        <is>
          <t>Not started</t>
        </is>
      </c>
      <c r="Q102" s="20">
        <f>IF(AND(O102="Not needed",P102="Not needed"),"Not needed",IF(OR(O102="Stuck",P102="Stuck"),"Stuck",IF(AND(OR(O102="Done",O102="Not needed"),OR(P102="Done",P102="Not needed")),"Done",IF(AND(OR(O102="Not started",O102="Not needed"),OR(P102="Not started",P102="Not needed")),"Not started",IF(AND(OR(O102="Being checked",O102="Done",O102="Not needed"),OR(P102="Being checked",P102="Done",P102="Not needed")),"Being checked","In progress")))))</f>
        <v/>
      </c>
      <c r="R102" s="24">
        <f>IFERROR((IF(OR(O102="Not needed",O102="Stuck"),0,INDEX(Settings!$E$5:$E$8,MATCH(O102,Settings!$D$5:$D$8,0)))+IF(OR(P102="Not needed",P102="Stuck"),0,INDEX(Settings!$E$5:$E$8,MATCH(P102,Settings!$D$5:$D$8,0))))/((O102&lt;&gt;"Not needed")+(P102&lt;&gt;"Not needed")),0)</f>
        <v/>
      </c>
      <c r="S102" s="19" t="n"/>
    </row>
    <row r="103">
      <c r="A103" s="13" t="n">
        <v>99</v>
      </c>
      <c r="B103" s="14" t="inlineStr">
        <is>
          <t>Progress tracking</t>
        </is>
      </c>
      <c r="C103" s="15" t="inlineStr">
        <is>
          <t>Technology trends</t>
        </is>
      </c>
      <c r="D103" s="14" t="inlineStr">
        <is>
          <t>Users see which technologies are rising or fading.</t>
        </is>
      </c>
      <c r="E103" s="14" t="inlineStr">
        <is>
          <t>Trends page</t>
        </is>
      </c>
      <c r="F103" s="14" t="inlineStr">
        <is>
          <t>Analyse trends in job data</t>
        </is>
      </c>
      <c r="G103" s="14" t="inlineStr">
        <is>
          <t>Phase 4: Progress tracking and organisations</t>
        </is>
      </c>
      <c r="H103" s="13" t="n">
        <v>10</v>
      </c>
      <c r="I103" s="16">
        <f>Settings!$B$5+(H103-1)*7+4</f>
        <v/>
      </c>
      <c r="J103" s="13" t="inlineStr">
        <is>
          <t>Developer B</t>
        </is>
      </c>
      <c r="K103" s="13" t="inlineStr">
        <is>
          <t>Developer A</t>
        </is>
      </c>
      <c r="L103" s="13" t="inlineStr">
        <is>
          <t>Yes</t>
        </is>
      </c>
      <c r="M103" s="14" t="inlineStr">
        <is>
          <t>Nothing built yet</t>
        </is>
      </c>
      <c r="N103" s="14" t="inlineStr">
        <is>
          <t>—</t>
        </is>
      </c>
      <c r="O103" s="17" t="inlineStr">
        <is>
          <t>Not started</t>
        </is>
      </c>
      <c r="P103" s="17" t="inlineStr">
        <is>
          <t>Not started</t>
        </is>
      </c>
      <c r="Q103" s="13">
        <f>IF(AND(O103="Not needed",P103="Not needed"),"Not needed",IF(OR(O103="Stuck",P103="Stuck"),"Stuck",IF(AND(OR(O103="Done",O103="Not needed"),OR(P103="Done",P103="Not needed")),"Done",IF(AND(OR(O103="Not started",O103="Not needed"),OR(P103="Not started",P103="Not needed")),"Not started",IF(AND(OR(O103="Being checked",O103="Done",O103="Not needed"),OR(P103="Being checked",P103="Done",P103="Not needed")),"Being checked","In progress")))))</f>
        <v/>
      </c>
      <c r="R103" s="18">
        <f>IFERROR((IF(OR(O103="Not needed",O103="Stuck"),0,INDEX(Settings!$E$5:$E$8,MATCH(O103,Settings!$D$5:$D$8,0)))+IF(OR(P103="Not needed",P103="Stuck"),0,INDEX(Settings!$E$5:$E$8,MATCH(P103,Settings!$D$5:$D$8,0))))/((O103&lt;&gt;"Not needed")+(P103&lt;&gt;"Not needed")),0)</f>
        <v/>
      </c>
      <c r="S103" s="19" t="n"/>
    </row>
    <row r="104">
      <c r="A104" s="20" t="n">
        <v>100</v>
      </c>
      <c r="B104" s="21" t="inlineStr">
        <is>
          <t>Progress tracking</t>
        </is>
      </c>
      <c r="C104" s="22" t="inlineStr">
        <is>
          <t>Roles to aim for next</t>
        </is>
      </c>
      <c r="D104" s="21" t="inlineStr">
        <is>
          <t>Users get suggested next roles.</t>
        </is>
      </c>
      <c r="E104" s="21" t="inlineStr">
        <is>
          <t>Suggestions</t>
        </is>
      </c>
      <c r="F104" s="21" t="inlineStr">
        <is>
          <t>Suggest roles</t>
        </is>
      </c>
      <c r="G104" s="21" t="inlineStr">
        <is>
          <t>Phase 4: Progress tracking and organisations</t>
        </is>
      </c>
      <c r="H104" s="20" t="n">
        <v>10</v>
      </c>
      <c r="I104" s="23">
        <f>Settings!$B$5+(H104-1)*7+4</f>
        <v/>
      </c>
      <c r="J104" s="20" t="inlineStr">
        <is>
          <t>Developer B</t>
        </is>
      </c>
      <c r="K104" s="20" t="inlineStr">
        <is>
          <t>Developer A</t>
        </is>
      </c>
      <c r="L104" s="20" t="inlineStr">
        <is>
          <t>Yes</t>
        </is>
      </c>
      <c r="M104" s="21" t="inlineStr">
        <is>
          <t>Fixed table</t>
        </is>
      </c>
      <c r="N104" s="21" t="inlineStr">
        <is>
          <t>—</t>
        </is>
      </c>
      <c r="O104" s="17" t="inlineStr">
        <is>
          <t>Not started</t>
        </is>
      </c>
      <c r="P104" s="17" t="inlineStr">
        <is>
          <t>Not started</t>
        </is>
      </c>
      <c r="Q104" s="20">
        <f>IF(AND(O104="Not needed",P104="Not needed"),"Not needed",IF(OR(O104="Stuck",P104="Stuck"),"Stuck",IF(AND(OR(O104="Done",O104="Not needed"),OR(P104="Done",P104="Not needed")),"Done",IF(AND(OR(O104="Not started",O104="Not needed"),OR(P104="Not started",P104="Not needed")),"Not started",IF(AND(OR(O104="Being checked",O104="Done",O104="Not needed"),OR(P104="Being checked",P104="Done",P104="Not needed")),"Being checked","In progress")))))</f>
        <v/>
      </c>
      <c r="R104" s="24">
        <f>IFERROR((IF(OR(O104="Not needed",O104="Stuck"),0,INDEX(Settings!$E$5:$E$8,MATCH(O104,Settings!$D$5:$D$8,0)))+IF(OR(P104="Not needed",P104="Stuck"),0,INDEX(Settings!$E$5:$E$8,MATCH(P104,Settings!$D$5:$D$8,0))))/((O104&lt;&gt;"Not needed")+(P104&lt;&gt;"Not needed")),0)</f>
        <v/>
      </c>
      <c r="S104" s="19" t="n"/>
    </row>
    <row r="105">
      <c r="A105" s="13" t="n">
        <v>101</v>
      </c>
      <c r="B105" s="14" t="inlineStr">
        <is>
          <t>Progress tracking</t>
        </is>
      </c>
      <c r="C105" s="15" t="inlineStr">
        <is>
          <t>Which certifications are worth it</t>
        </is>
      </c>
      <c r="D105" s="14" t="inlineStr">
        <is>
          <t>Users see which certifications employers value.</t>
        </is>
      </c>
      <c r="E105" s="14" t="inlineStr">
        <is>
          <t>Guidance panel</t>
        </is>
      </c>
      <c r="F105" s="14" t="inlineStr">
        <is>
          <t>Base guidance on job demand</t>
        </is>
      </c>
      <c r="G105" s="14" t="inlineStr">
        <is>
          <t>Phase 4: Progress tracking and organisations</t>
        </is>
      </c>
      <c r="H105" s="13" t="n">
        <v>10</v>
      </c>
      <c r="I105" s="16">
        <f>Settings!$B$5+(H105-1)*7+4</f>
        <v/>
      </c>
      <c r="J105" s="13" t="inlineStr">
        <is>
          <t>Developer B</t>
        </is>
      </c>
      <c r="K105" s="13" t="inlineStr">
        <is>
          <t>Developer A</t>
        </is>
      </c>
      <c r="L105" s="13" t="inlineStr">
        <is>
          <t>No</t>
        </is>
      </c>
      <c r="M105" s="14" t="inlineStr">
        <is>
          <t>Nothing built yet</t>
        </is>
      </c>
      <c r="N105" s="14" t="inlineStr">
        <is>
          <t>—</t>
        </is>
      </c>
      <c r="O105" s="17" t="inlineStr">
        <is>
          <t>Not started</t>
        </is>
      </c>
      <c r="P105" s="17" t="inlineStr">
        <is>
          <t>Not started</t>
        </is>
      </c>
      <c r="Q105" s="13">
        <f>IF(AND(O105="Not needed",P105="Not needed"),"Not needed",IF(OR(O105="Stuck",P105="Stuck"),"Stuck",IF(AND(OR(O105="Done",O105="Not needed"),OR(P105="Done",P105="Not needed")),"Done",IF(AND(OR(O105="Not started",O105="Not needed"),OR(P105="Not started",P105="Not needed")),"Not started",IF(AND(OR(O105="Being checked",O105="Done",O105="Not needed"),OR(P105="Being checked",P105="Done",P105="Not needed")),"Being checked","In progress")))))</f>
        <v/>
      </c>
      <c r="R105" s="18">
        <f>IFERROR((IF(OR(O105="Not needed",O105="Stuck"),0,INDEX(Settings!$E$5:$E$8,MATCH(O105,Settings!$D$5:$D$8,0)))+IF(OR(P105="Not needed",P105="Stuck"),0,INDEX(Settings!$E$5:$E$8,MATCH(P105,Settings!$D$5:$D$8,0))))/((O105&lt;&gt;"Not needed")+(P105&lt;&gt;"Not needed")),0)</f>
        <v/>
      </c>
      <c r="S105" s="19" t="n"/>
    </row>
    <row r="106">
      <c r="A106" s="20" t="n">
        <v>102</v>
      </c>
      <c r="B106" s="21" t="inlineStr">
        <is>
          <t>Progress tracking</t>
        </is>
      </c>
      <c r="C106" s="22" t="inlineStr">
        <is>
          <t>Market reports</t>
        </is>
      </c>
      <c r="D106" s="21" t="inlineStr">
        <is>
          <t>Users get a regular report on their job market.</t>
        </is>
      </c>
      <c r="E106" s="21" t="inlineStr">
        <is>
          <t>Report page and download</t>
        </is>
      </c>
      <c r="F106" s="21" t="inlineStr">
        <is>
          <t>Create the report</t>
        </is>
      </c>
      <c r="G106" s="21" t="inlineStr">
        <is>
          <t>Phase 4: Progress tracking and organisations</t>
        </is>
      </c>
      <c r="H106" s="20" t="n">
        <v>10</v>
      </c>
      <c r="I106" s="23">
        <f>Settings!$B$5+(H106-1)*7+4</f>
        <v/>
      </c>
      <c r="J106" s="20" t="inlineStr">
        <is>
          <t>Developer B</t>
        </is>
      </c>
      <c r="K106" s="20" t="inlineStr">
        <is>
          <t>Developer A</t>
        </is>
      </c>
      <c r="L106" s="20" t="inlineStr">
        <is>
          <t>No</t>
        </is>
      </c>
      <c r="M106" s="21" t="inlineStr">
        <is>
          <t>Nothing built yet</t>
        </is>
      </c>
      <c r="N106" s="21" t="inlineStr">
        <is>
          <t>—</t>
        </is>
      </c>
      <c r="O106" s="17" t="inlineStr">
        <is>
          <t>Not started</t>
        </is>
      </c>
      <c r="P106" s="17" t="inlineStr">
        <is>
          <t>Not started</t>
        </is>
      </c>
      <c r="Q106" s="20">
        <f>IF(AND(O106="Not needed",P106="Not needed"),"Not needed",IF(OR(O106="Stuck",P106="Stuck"),"Stuck",IF(AND(OR(O106="Done",O106="Not needed"),OR(P106="Done",P106="Not needed")),"Done",IF(AND(OR(O106="Not started",O106="Not needed"),OR(P106="Not started",P106="Not needed")),"Not started",IF(AND(OR(O106="Being checked",O106="Done",O106="Not needed"),OR(P106="Being checked",P106="Done",P106="Not needed")),"Being checked","In progress")))))</f>
        <v/>
      </c>
      <c r="R106" s="24">
        <f>IFERROR((IF(OR(O106="Not needed",O106="Stuck"),0,INDEX(Settings!$E$5:$E$8,MATCH(O106,Settings!$D$5:$D$8,0)))+IF(OR(P106="Not needed",P106="Stuck"),0,INDEX(Settings!$E$5:$E$8,MATCH(P106,Settings!$D$5:$D$8,0))))/((O106&lt;&gt;"Not needed")+(P106&lt;&gt;"Not needed")),0)</f>
        <v/>
      </c>
      <c r="S106" s="19" t="n"/>
    </row>
    <row r="107">
      <c r="A107" s="13" t="n">
        <v>103</v>
      </c>
      <c r="B107" s="14" t="inlineStr">
        <is>
          <t>For organisations</t>
        </is>
      </c>
      <c r="C107" s="15" t="inlineStr">
        <is>
          <t>Each organisation's data kept separate</t>
        </is>
      </c>
      <c r="D107" s="14" t="inlineStr">
        <is>
          <t>No organisation can ever see another's people or data.</t>
        </is>
      </c>
      <c r="E107" s="14" t="inlineStr">
        <is>
          <t>Organisation switcher</t>
        </is>
      </c>
      <c r="F107" s="14" t="inlineStr">
        <is>
          <t>Keep every organisation's data apart, with tests to prove it</t>
        </is>
      </c>
      <c r="G107" s="14" t="inlineStr">
        <is>
          <t>Phase 4: Progress tracking and organisations</t>
        </is>
      </c>
      <c r="H107" s="13" t="n">
        <v>11</v>
      </c>
      <c r="I107" s="16">
        <f>Settings!$B$5+(H107-1)*7+4</f>
        <v/>
      </c>
      <c r="J107" s="13" t="inlineStr">
        <is>
          <t>Developer B</t>
        </is>
      </c>
      <c r="K107" s="13" t="inlineStr">
        <is>
          <t>Developer A</t>
        </is>
      </c>
      <c r="L107" s="13" t="inlineStr">
        <is>
          <t>Yes</t>
        </is>
      </c>
      <c r="M107" s="14" t="inlineStr">
        <is>
          <t>Nothing built yet</t>
        </is>
      </c>
      <c r="N107" s="14" t="inlineStr">
        <is>
          <t>—</t>
        </is>
      </c>
      <c r="O107" s="17" t="inlineStr">
        <is>
          <t>Not started</t>
        </is>
      </c>
      <c r="P107" s="17" t="inlineStr">
        <is>
          <t>Not started</t>
        </is>
      </c>
      <c r="Q107" s="13">
        <f>IF(AND(O107="Not needed",P107="Not needed"),"Not needed",IF(OR(O107="Stuck",P107="Stuck"),"Stuck",IF(AND(OR(O107="Done",O107="Not needed"),OR(P107="Done",P107="Not needed")),"Done",IF(AND(OR(O107="Not started",O107="Not needed"),OR(P107="Not started",P107="Not needed")),"Not started",IF(AND(OR(O107="Being checked",O107="Done",O107="Not needed"),OR(P107="Being checked",P107="Done",P107="Not needed")),"Being checked","In progress")))))</f>
        <v/>
      </c>
      <c r="R107" s="18">
        <f>IFERROR((IF(OR(O107="Not needed",O107="Stuck"),0,INDEX(Settings!$E$5:$E$8,MATCH(O107,Settings!$D$5:$D$8,0)))+IF(OR(P107="Not needed",P107="Stuck"),0,INDEX(Settings!$E$5:$E$8,MATCH(P107,Settings!$D$5:$D$8,0))))/((O107&lt;&gt;"Not needed")+(P107&lt;&gt;"Not needed")),0)</f>
        <v/>
      </c>
      <c r="S107" s="19" t="n"/>
    </row>
    <row r="108">
      <c r="A108" s="20" t="n">
        <v>104</v>
      </c>
      <c r="B108" s="21" t="inlineStr">
        <is>
          <t>For organisations</t>
        </is>
      </c>
      <c r="C108" s="22" t="inlineStr">
        <is>
          <t>Manage people, groups and programs</t>
        </is>
      </c>
      <c r="D108" s="21" t="inlineStr">
        <is>
          <t>Admins add people (one by one or from a spreadsheet) and put them in groups.</t>
        </is>
      </c>
      <c r="E108" s="21" t="inlineStr">
        <is>
          <t>Admin pages, spreadsheet upload</t>
        </is>
      </c>
      <c r="F108" s="21" t="inlineStr">
        <is>
          <t>Manage seats and groups</t>
        </is>
      </c>
      <c r="G108" s="21" t="inlineStr">
        <is>
          <t>Phase 4: Progress tracking and organisations</t>
        </is>
      </c>
      <c r="H108" s="20" t="n">
        <v>11</v>
      </c>
      <c r="I108" s="23">
        <f>Settings!$B$5+(H108-1)*7+4</f>
        <v/>
      </c>
      <c r="J108" s="20" t="inlineStr">
        <is>
          <t>Developer B</t>
        </is>
      </c>
      <c r="K108" s="20" t="inlineStr">
        <is>
          <t>Developer B</t>
        </is>
      </c>
      <c r="L108" s="20" t="inlineStr">
        <is>
          <t>Yes</t>
        </is>
      </c>
      <c r="M108" s="21" t="inlineStr">
        <is>
          <t>Nothing built yet</t>
        </is>
      </c>
      <c r="N108" s="21" t="inlineStr">
        <is>
          <t>Pilot client's user list</t>
        </is>
      </c>
      <c r="O108" s="17" t="inlineStr">
        <is>
          <t>Not started</t>
        </is>
      </c>
      <c r="P108" s="17" t="inlineStr">
        <is>
          <t>Not started</t>
        </is>
      </c>
      <c r="Q108" s="20">
        <f>IF(AND(O108="Not needed",P108="Not needed"),"Not needed",IF(OR(O108="Stuck",P108="Stuck"),"Stuck",IF(AND(OR(O108="Done",O108="Not needed"),OR(P108="Done",P108="Not needed")),"Done",IF(AND(OR(O108="Not started",O108="Not needed"),OR(P108="Not started",P108="Not needed")),"Not started",IF(AND(OR(O108="Being checked",O108="Done",O108="Not needed"),OR(P108="Being checked",P108="Done",P108="Not needed")),"Being checked","In progress")))))</f>
        <v/>
      </c>
      <c r="R108" s="24">
        <f>IFERROR((IF(OR(O108="Not needed",O108="Stuck"),0,INDEX(Settings!$E$5:$E$8,MATCH(O108,Settings!$D$5:$D$8,0)))+IF(OR(P108="Not needed",P108="Stuck"),0,INDEX(Settings!$E$5:$E$8,MATCH(P108,Settings!$D$5:$D$8,0))))/((O108&lt;&gt;"Not needed")+(P108&lt;&gt;"Not needed")),0)</f>
        <v/>
      </c>
      <c r="S108" s="19" t="n"/>
    </row>
    <row r="109">
      <c r="A109" s="13" t="n">
        <v>105</v>
      </c>
      <c r="B109" s="14" t="inlineStr">
        <is>
          <t>For organisations</t>
        </is>
      </c>
      <c r="C109" s="15" t="inlineStr">
        <is>
          <t>Group progress dashboard</t>
        </is>
      </c>
      <c r="D109" s="14" t="inlineStr">
        <is>
          <t>Universities, institutes and company training teams see how their group is doing.</t>
        </is>
      </c>
      <c r="E109" s="14" t="inlineStr">
        <is>
          <t>Group dashboard, download as spreadsheet</t>
        </is>
      </c>
      <c r="F109" s="14" t="inlineStr">
        <is>
          <t>Combine figures for the group</t>
        </is>
      </c>
      <c r="G109" s="14" t="inlineStr">
        <is>
          <t>Phase 4: Progress tracking and organisations</t>
        </is>
      </c>
      <c r="H109" s="13" t="n">
        <v>11</v>
      </c>
      <c r="I109" s="16">
        <f>Settings!$B$5+(H109-1)*7+4</f>
        <v/>
      </c>
      <c r="J109" s="13" t="inlineStr">
        <is>
          <t>Developer B</t>
        </is>
      </c>
      <c r="K109" s="13" t="inlineStr">
        <is>
          <t>Developer A</t>
        </is>
      </c>
      <c r="L109" s="13" t="inlineStr">
        <is>
          <t>Yes</t>
        </is>
      </c>
      <c r="M109" s="14" t="inlineStr">
        <is>
          <t>Nothing built yet</t>
        </is>
      </c>
      <c r="N109" s="14" t="inlineStr">
        <is>
          <t>—</t>
        </is>
      </c>
      <c r="O109" s="17" t="inlineStr">
        <is>
          <t>Not started</t>
        </is>
      </c>
      <c r="P109" s="17" t="inlineStr">
        <is>
          <t>Not started</t>
        </is>
      </c>
      <c r="Q109" s="13">
        <f>IF(AND(O109="Not needed",P109="Not needed"),"Not needed",IF(OR(O109="Stuck",P109="Stuck"),"Stuck",IF(AND(OR(O109="Done",O109="Not needed"),OR(P109="Done",P109="Not needed")),"Done",IF(AND(OR(O109="Not started",O109="Not needed"),OR(P109="Not started",P109="Not needed")),"Not started",IF(AND(OR(O109="Being checked",O109="Done",O109="Not needed"),OR(P109="Being checked",P109="Done",P109="Not needed")),"Being checked","In progress")))))</f>
        <v/>
      </c>
      <c r="R109" s="18">
        <f>IFERROR((IF(OR(O109="Not needed",O109="Stuck"),0,INDEX(Settings!$E$5:$E$8,MATCH(O109,Settings!$D$5:$D$8,0)))+IF(OR(P109="Not needed",P109="Stuck"),0,INDEX(Settings!$E$5:$E$8,MATCH(P109,Settings!$D$5:$D$8,0))))/((O109&lt;&gt;"Not needed")+(P109&lt;&gt;"Not needed")),0)</f>
        <v/>
      </c>
      <c r="S109" s="19" t="n"/>
    </row>
    <row r="110">
      <c r="A110" s="20" t="n">
        <v>106</v>
      </c>
      <c r="B110" s="21" t="inlineStr">
        <is>
          <t>For organisations</t>
        </is>
      </c>
      <c r="C110" s="22" t="inlineStr">
        <is>
          <t>Staffing firm tools</t>
        </is>
      </c>
      <c r="D110" s="21" t="inlineStr">
        <is>
          <t>Staffing firms match their candidates to client job requests.</t>
        </is>
      </c>
      <c r="E110" s="21" t="inlineStr">
        <is>
          <t>Job request and shortlist pages</t>
        </is>
      </c>
      <c r="F110" s="21" t="inlineStr">
        <is>
          <t>Reuse the recruiter tool's matching</t>
        </is>
      </c>
      <c r="G110" s="21" t="inlineStr">
        <is>
          <t>Phase 4: Progress tracking and organisations</t>
        </is>
      </c>
      <c r="H110" s="20" t="n">
        <v>11</v>
      </c>
      <c r="I110" s="23">
        <f>Settings!$B$5+(H110-1)*7+4</f>
        <v/>
      </c>
      <c r="J110" s="20" t="inlineStr">
        <is>
          <t>Developer B</t>
        </is>
      </c>
      <c r="K110" s="20" t="inlineStr">
        <is>
          <t>Developer A</t>
        </is>
      </c>
      <c r="L110" s="20" t="inlineStr">
        <is>
          <t>No</t>
        </is>
      </c>
      <c r="M110" s="21" t="inlineStr">
        <is>
          <t>Recruiter email tool exists</t>
        </is>
      </c>
      <c r="N110" s="21" t="inlineStr">
        <is>
          <t>—</t>
        </is>
      </c>
      <c r="O110" s="17" t="inlineStr">
        <is>
          <t>Not started</t>
        </is>
      </c>
      <c r="P110" s="17" t="inlineStr">
        <is>
          <t>Not started</t>
        </is>
      </c>
      <c r="Q110" s="20">
        <f>IF(AND(O110="Not needed",P110="Not needed"),"Not needed",IF(OR(O110="Stuck",P110="Stuck"),"Stuck",IF(AND(OR(O110="Done",O110="Not needed"),OR(P110="Done",P110="Not needed")),"Done",IF(AND(OR(O110="Not started",O110="Not needed"),OR(P110="Not started",P110="Not needed")),"Not started",IF(AND(OR(O110="Being checked",O110="Done",O110="Not needed"),OR(P110="Being checked",P110="Done",P110="Not needed")),"Being checked","In progress")))))</f>
        <v/>
      </c>
      <c r="R110" s="24">
        <f>IFERROR((IF(OR(O110="Not needed",O110="Stuck"),0,INDEX(Settings!$E$5:$E$8,MATCH(O110,Settings!$D$5:$D$8,0)))+IF(OR(P110="Not needed",P110="Stuck"),0,INDEX(Settings!$E$5:$E$8,MATCH(P110,Settings!$D$5:$D$8,0))))/((O110&lt;&gt;"Not needed")+(P110&lt;&gt;"Not needed")),0)</f>
        <v/>
      </c>
      <c r="S110" s="19" t="n"/>
    </row>
    <row r="111">
      <c r="A111" s="13" t="n">
        <v>107</v>
      </c>
      <c r="B111" s="14" t="inlineStr">
        <is>
          <t>For organisations</t>
        </is>
      </c>
      <c r="C111" s="15" t="inlineStr">
        <is>
          <t>Connect to other company systems</t>
        </is>
      </c>
      <c r="D111" s="14" t="inlineStr">
        <is>
          <t>Organisations connect their hiring, HR and training systems.</t>
        </is>
      </c>
      <c r="E111" s="14" t="inlineStr">
        <is>
          <t>Connection settings page</t>
        </is>
      </c>
      <c r="F111" s="14" t="inlineStr">
        <is>
          <t>Connection points for other systems</t>
        </is>
      </c>
      <c r="G111" s="14" t="inlineStr">
        <is>
          <t>Phase 4: Progress tracking and organisations</t>
        </is>
      </c>
      <c r="H111" s="13" t="n">
        <v>12</v>
      </c>
      <c r="I111" s="16">
        <f>Settings!$B$5+(H111-1)*7+4</f>
        <v/>
      </c>
      <c r="J111" s="13" t="inlineStr">
        <is>
          <t>Developer B</t>
        </is>
      </c>
      <c r="K111" s="13" t="inlineStr">
        <is>
          <t>Developer A</t>
        </is>
      </c>
      <c r="L111" s="13" t="inlineStr">
        <is>
          <t>No</t>
        </is>
      </c>
      <c r="M111" s="14" t="inlineStr">
        <is>
          <t>Nothing built yet</t>
        </is>
      </c>
      <c r="N111" s="14" t="inlineStr">
        <is>
          <t>The first client's systems</t>
        </is>
      </c>
      <c r="O111" s="17" t="inlineStr">
        <is>
          <t>Not started</t>
        </is>
      </c>
      <c r="P111" s="17" t="inlineStr">
        <is>
          <t>Not started</t>
        </is>
      </c>
      <c r="Q111" s="13">
        <f>IF(AND(O111="Not needed",P111="Not needed"),"Not needed",IF(OR(O111="Stuck",P111="Stuck"),"Stuck",IF(AND(OR(O111="Done",O111="Not needed"),OR(P111="Done",P111="Not needed")),"Done",IF(AND(OR(O111="Not started",O111="Not needed"),OR(P111="Not started",P111="Not needed")),"Not started",IF(AND(OR(O111="Being checked",O111="Done",O111="Not needed"),OR(P111="Being checked",P111="Done",P111="Not needed")),"Being checked","In progress")))))</f>
        <v/>
      </c>
      <c r="R111" s="18">
        <f>IFERROR((IF(OR(O111="Not needed",O111="Stuck"),0,INDEX(Settings!$E$5:$E$8,MATCH(O111,Settings!$D$5:$D$8,0)))+IF(OR(P111="Not needed",P111="Stuck"),0,INDEX(Settings!$E$5:$E$8,MATCH(P111,Settings!$D$5:$D$8,0))))/((O111&lt;&gt;"Not needed")+(P111&lt;&gt;"Not needed")),0)</f>
        <v/>
      </c>
      <c r="S111" s="19" t="n"/>
    </row>
    <row r="112">
      <c r="A112" s="20" t="n">
        <v>108</v>
      </c>
      <c r="B112" s="21" t="inlineStr">
        <is>
          <t>For organisations</t>
        </is>
      </c>
      <c r="C112" s="22" t="inlineStr">
        <is>
          <t>Admins and members see different things</t>
        </is>
      </c>
      <c r="D112" s="21" t="inlineStr">
        <is>
          <t>Each person only sees what their role allows.</t>
        </is>
      </c>
      <c r="E112" s="21" t="inlineStr">
        <is>
          <t>Menus change with role</t>
        </is>
      </c>
      <c r="F112" s="21" t="inlineStr">
        <is>
          <t>Check permissions on every action</t>
        </is>
      </c>
      <c r="G112" s="21" t="inlineStr">
        <is>
          <t>Phase 4: Progress tracking and organisations</t>
        </is>
      </c>
      <c r="H112" s="20" t="n">
        <v>12</v>
      </c>
      <c r="I112" s="23">
        <f>Settings!$B$5+(H112-1)*7+4</f>
        <v/>
      </c>
      <c r="J112" s="20" t="inlineStr">
        <is>
          <t>Developer B</t>
        </is>
      </c>
      <c r="K112" s="20" t="inlineStr">
        <is>
          <t>Developer B</t>
        </is>
      </c>
      <c r="L112" s="20" t="inlineStr">
        <is>
          <t>Yes</t>
        </is>
      </c>
      <c r="M112" s="21" t="inlineStr">
        <is>
          <t>Only recruiter vs job seeker split</t>
        </is>
      </c>
      <c r="N112" s="21" t="inlineStr">
        <is>
          <t>—</t>
        </is>
      </c>
      <c r="O112" s="17" t="inlineStr">
        <is>
          <t>Not started</t>
        </is>
      </c>
      <c r="P112" s="17" t="inlineStr">
        <is>
          <t>Not started</t>
        </is>
      </c>
      <c r="Q112" s="20">
        <f>IF(AND(O112="Not needed",P112="Not needed"),"Not needed",IF(OR(O112="Stuck",P112="Stuck"),"Stuck",IF(AND(OR(O112="Done",O112="Not needed"),OR(P112="Done",P112="Not needed")),"Done",IF(AND(OR(O112="Not started",O112="Not needed"),OR(P112="Not started",P112="Not needed")),"Not started",IF(AND(OR(O112="Being checked",O112="Done",O112="Not needed"),OR(P112="Being checked",P112="Done",P112="Not needed")),"Being checked","In progress")))))</f>
        <v/>
      </c>
      <c r="R112" s="24">
        <f>IFERROR((IF(OR(O112="Not needed",O112="Stuck"),0,INDEX(Settings!$E$5:$E$8,MATCH(O112,Settings!$D$5:$D$8,0)))+IF(OR(P112="Not needed",P112="Stuck"),0,INDEX(Settings!$E$5:$E$8,MATCH(P112,Settings!$D$5:$D$8,0))))/((O112&lt;&gt;"Not needed")+(P112&lt;&gt;"Not needed")),0)</f>
        <v/>
      </c>
      <c r="S112" s="19" t="n"/>
    </row>
    <row r="113">
      <c r="A113" s="13" t="n">
        <v>109</v>
      </c>
      <c r="B113" s="14" t="inlineStr">
        <is>
          <t>For organisations</t>
        </is>
      </c>
      <c r="C113" s="15" t="inlineStr">
        <is>
          <t>Pay for individual programs</t>
        </is>
      </c>
      <c r="D113" s="14" t="inlineStr">
        <is>
          <t>Individuals buy Resume Optimization, Interview Readiness or Career Accelerator.</t>
        </is>
      </c>
      <c r="E113" s="14" t="inlineStr">
        <is>
          <t>Plans and checkout</t>
        </is>
      </c>
      <c r="F113" s="14" t="inlineStr">
        <is>
          <t>Connect a payment provider</t>
        </is>
      </c>
      <c r="G113" s="14" t="inlineStr">
        <is>
          <t>Phase 4: Progress tracking and organisations</t>
        </is>
      </c>
      <c r="H113" s="13" t="n">
        <v>12</v>
      </c>
      <c r="I113" s="16">
        <f>Settings!$B$5+(H113-1)*7+4</f>
        <v/>
      </c>
      <c r="J113" s="13" t="inlineStr">
        <is>
          <t>Developer B</t>
        </is>
      </c>
      <c r="K113" s="13" t="inlineStr">
        <is>
          <t>Developer B</t>
        </is>
      </c>
      <c r="L113" s="13" t="inlineStr">
        <is>
          <t>Yes</t>
        </is>
      </c>
      <c r="M113" s="14" t="inlineStr">
        <is>
          <t>Nothing built yet</t>
        </is>
      </c>
      <c r="N113" s="14" t="inlineStr">
        <is>
          <t>Payment provider account</t>
        </is>
      </c>
      <c r="O113" s="17" t="inlineStr">
        <is>
          <t>Not started</t>
        </is>
      </c>
      <c r="P113" s="17" t="inlineStr">
        <is>
          <t>Not started</t>
        </is>
      </c>
      <c r="Q113" s="13">
        <f>IF(AND(O113="Not needed",P113="Not needed"),"Not needed",IF(OR(O113="Stuck",P113="Stuck"),"Stuck",IF(AND(OR(O113="Done",O113="Not needed"),OR(P113="Done",P113="Not needed")),"Done",IF(AND(OR(O113="Not started",O113="Not needed"),OR(P113="Not started",P113="Not needed")),"Not started",IF(AND(OR(O113="Being checked",O113="Done",O113="Not needed"),OR(P113="Being checked",P113="Done",P113="Not needed")),"Being checked","In progress")))))</f>
        <v/>
      </c>
      <c r="R113" s="18">
        <f>IFERROR((IF(OR(O113="Not needed",O113="Stuck"),0,INDEX(Settings!$E$5:$E$8,MATCH(O113,Settings!$D$5:$D$8,0)))+IF(OR(P113="Not needed",P113="Stuck"),0,INDEX(Settings!$E$5:$E$8,MATCH(P113,Settings!$D$5:$D$8,0))))/((O113&lt;&gt;"Not needed")+(P113&lt;&gt;"Not needed")),0)</f>
        <v/>
      </c>
      <c r="S113" s="19" t="n"/>
    </row>
    <row r="114">
      <c r="A114" s="20" t="n">
        <v>110</v>
      </c>
      <c r="B114" s="21" t="inlineStr">
        <is>
          <t>For organisations</t>
        </is>
      </c>
      <c r="C114" s="22" t="inlineStr">
        <is>
          <t>Organisation licences</t>
        </is>
      </c>
      <c r="D114" s="21" t="inlineStr">
        <is>
          <t>Organisations buy licences, training programs and platform access.</t>
        </is>
      </c>
      <c r="E114" s="21" t="inlineStr">
        <is>
          <t>Licence page</t>
        </is>
      </c>
      <c r="F114" s="21" t="inlineStr">
        <is>
          <t>Licence records and invoices</t>
        </is>
      </c>
      <c r="G114" s="21" t="inlineStr">
        <is>
          <t>Phase 4: Progress tracking and organisations</t>
        </is>
      </c>
      <c r="H114" s="20" t="n">
        <v>12</v>
      </c>
      <c r="I114" s="23">
        <f>Settings!$B$5+(H114-1)*7+4</f>
        <v/>
      </c>
      <c r="J114" s="20" t="inlineStr">
        <is>
          <t>Developer B</t>
        </is>
      </c>
      <c r="K114" s="20" t="inlineStr">
        <is>
          <t>Developer B</t>
        </is>
      </c>
      <c r="L114" s="20" t="inlineStr">
        <is>
          <t>No</t>
        </is>
      </c>
      <c r="M114" s="21" t="inlineStr">
        <is>
          <t>Nothing built yet</t>
        </is>
      </c>
      <c r="N114" s="21" t="inlineStr">
        <is>
          <t>Agreed pricing</t>
        </is>
      </c>
      <c r="O114" s="17" t="inlineStr">
        <is>
          <t>Not started</t>
        </is>
      </c>
      <c r="P114" s="17" t="inlineStr">
        <is>
          <t>Not started</t>
        </is>
      </c>
      <c r="Q114" s="20">
        <f>IF(AND(O114="Not needed",P114="Not needed"),"Not needed",IF(OR(O114="Stuck",P114="Stuck"),"Stuck",IF(AND(OR(O114="Done",O114="Not needed"),OR(P114="Done",P114="Not needed")),"Done",IF(AND(OR(O114="Not started",O114="Not needed"),OR(P114="Not started",P114="Not needed")),"Not started",IF(AND(OR(O114="Being checked",O114="Done",O114="Not needed"),OR(P114="Being checked",P114="Done",P114="Not needed")),"Being checked","In progress")))))</f>
        <v/>
      </c>
      <c r="R114" s="24">
        <f>IFERROR((IF(OR(O114="Not needed",O114="Stuck"),0,INDEX(Settings!$E$5:$E$8,MATCH(O114,Settings!$D$5:$D$8,0)))+IF(OR(P114="Not needed",P114="Stuck"),0,INDEX(Settings!$E$5:$E$8,MATCH(P114,Settings!$D$5:$D$8,0))))/((O114&lt;&gt;"Not needed")+(P114&lt;&gt;"Not needed")),0)</f>
        <v/>
      </c>
      <c r="S114" s="19" t="n"/>
    </row>
    <row r="115">
      <c r="A115" s="13" t="n">
        <v>111</v>
      </c>
      <c r="B115" s="14" t="inlineStr">
        <is>
          <t>For organisations</t>
        </is>
      </c>
      <c r="C115" s="15" t="inlineStr">
        <is>
          <t>Book a coaching session</t>
        </is>
      </c>
      <c r="D115" s="14" t="inlineStr">
        <is>
          <t>Users book coaching sessions included in their program.</t>
        </is>
      </c>
      <c r="E115" s="14" t="inlineStr">
        <is>
          <t>Booking calendar</t>
        </is>
      </c>
      <c r="F115" s="14" t="inlineStr">
        <is>
          <t>Save bookings, send reminders</t>
        </is>
      </c>
      <c r="G115" s="14" t="inlineStr">
        <is>
          <t>Phase 4: Progress tracking and organisations</t>
        </is>
      </c>
      <c r="H115" s="13" t="n">
        <v>12</v>
      </c>
      <c r="I115" s="16">
        <f>Settings!$B$5+(H115-1)*7+4</f>
        <v/>
      </c>
      <c r="J115" s="13" t="inlineStr">
        <is>
          <t>Developer B</t>
        </is>
      </c>
      <c r="K115" s="13" t="inlineStr">
        <is>
          <t>Developer B</t>
        </is>
      </c>
      <c r="L115" s="13" t="inlineStr">
        <is>
          <t>No</t>
        </is>
      </c>
      <c r="M115" s="14" t="inlineStr">
        <is>
          <t>Nothing built yet</t>
        </is>
      </c>
      <c r="N115" s="14" t="inlineStr">
        <is>
          <t>Coaches' availability</t>
        </is>
      </c>
      <c r="O115" s="17" t="inlineStr">
        <is>
          <t>Not started</t>
        </is>
      </c>
      <c r="P115" s="17" t="inlineStr">
        <is>
          <t>Not started</t>
        </is>
      </c>
      <c r="Q115" s="13">
        <f>IF(AND(O115="Not needed",P115="Not needed"),"Not needed",IF(OR(O115="Stuck",P115="Stuck"),"Stuck",IF(AND(OR(O115="Done",O115="Not needed"),OR(P115="Done",P115="Not needed")),"Done",IF(AND(OR(O115="Not started",O115="Not needed"),OR(P115="Not started",P115="Not needed")),"Not started",IF(AND(OR(O115="Being checked",O115="Done",O115="Not needed"),OR(P115="Being checked",P115="Done",P115="Not needed")),"Being checked","In progress")))))</f>
        <v/>
      </c>
      <c r="R115" s="18">
        <f>IFERROR((IF(OR(O115="Not needed",O115="Stuck"),0,INDEX(Settings!$E$5:$E$8,MATCH(O115,Settings!$D$5:$D$8,0)))+IF(OR(P115="Not needed",P115="Stuck"),0,INDEX(Settings!$E$5:$E$8,MATCH(P115,Settings!$D$5:$D$8,0))))/((O115&lt;&gt;"Not needed")+(P115&lt;&gt;"Not needed")),0)</f>
        <v/>
      </c>
      <c r="S115" s="19" t="n"/>
    </row>
    <row r="116">
      <c r="A116" s="20" t="n">
        <v>112</v>
      </c>
      <c r="B116" s="21" t="inlineStr">
        <is>
          <t>Launch checks</t>
        </is>
      </c>
      <c r="C116" s="22" t="inlineStr">
        <is>
          <t>Download or delete all your data</t>
        </is>
      </c>
      <c r="D116" s="21" t="inlineStr">
        <is>
          <t>Any user can download everything or delete their account completely.</t>
        </is>
      </c>
      <c r="E116" s="21" t="inlineStr">
        <is>
          <t>Buttons in settings</t>
        </is>
      </c>
      <c r="F116" s="21" t="inlineStr">
        <is>
          <t>Export and permanently delete across the whole system</t>
        </is>
      </c>
      <c r="G116" s="21" t="inlineStr">
        <is>
          <t>Phase 5: Launch checks</t>
        </is>
      </c>
      <c r="H116" s="20" t="n">
        <v>13</v>
      </c>
      <c r="I116" s="23">
        <f>Settings!$B$5+(H116-1)*7+4</f>
        <v/>
      </c>
      <c r="J116" s="20" t="inlineStr">
        <is>
          <t>Developer B</t>
        </is>
      </c>
      <c r="K116" s="20" t="inlineStr">
        <is>
          <t>Developer B</t>
        </is>
      </c>
      <c r="L116" s="20" t="inlineStr">
        <is>
          <t>Yes</t>
        </is>
      </c>
      <c r="M116" s="21" t="inlineStr">
        <is>
          <t>Nothing built yet</t>
        </is>
      </c>
      <c r="N116" s="21" t="inlineStr">
        <is>
          <t>—</t>
        </is>
      </c>
      <c r="O116" s="17" t="inlineStr">
        <is>
          <t>Not started</t>
        </is>
      </c>
      <c r="P116" s="17" t="inlineStr">
        <is>
          <t>Not started</t>
        </is>
      </c>
      <c r="Q116" s="20">
        <f>IF(AND(O116="Not needed",P116="Not needed"),"Not needed",IF(OR(O116="Stuck",P116="Stuck"),"Stuck",IF(AND(OR(O116="Done",O116="Not needed"),OR(P116="Done",P116="Not needed")),"Done",IF(AND(OR(O116="Not started",O116="Not needed"),OR(P116="Not started",P116="Not needed")),"Not started",IF(AND(OR(O116="Being checked",O116="Done",O116="Not needed"),OR(P116="Being checked",P116="Done",P116="Not needed")),"Being checked","In progress")))))</f>
        <v/>
      </c>
      <c r="R116" s="24">
        <f>IFERROR((IF(OR(O116="Not needed",O116="Stuck"),0,INDEX(Settings!$E$5:$E$8,MATCH(O116,Settings!$D$5:$D$8,0)))+IF(OR(P116="Not needed",P116="Stuck"),0,INDEX(Settings!$E$5:$E$8,MATCH(P116,Settings!$D$5:$D$8,0))))/((O116&lt;&gt;"Not needed")+(P116&lt;&gt;"Not needed")),0)</f>
        <v/>
      </c>
      <c r="S116" s="19" t="n"/>
    </row>
    <row r="117">
      <c r="A117" s="13" t="n">
        <v>113</v>
      </c>
      <c r="B117" s="14" t="inlineStr">
        <is>
          <t>Launch checks</t>
        </is>
      </c>
      <c r="C117" s="15" t="inlineStr">
        <is>
          <t>Security check and fixes</t>
        </is>
      </c>
      <c r="D117" s="14" t="inlineStr">
        <is>
          <t>No serious security problems at launch.</t>
        </is>
      </c>
      <c r="E117" s="14" t="inlineStr">
        <is>
          <t>—</t>
        </is>
      </c>
      <c r="F117" s="14" t="inlineStr">
        <is>
          <t>Fix what the security check finds</t>
        </is>
      </c>
      <c r="G117" s="14" t="inlineStr">
        <is>
          <t>Phase 5: Launch checks</t>
        </is>
      </c>
      <c r="H117" s="13" t="n">
        <v>13</v>
      </c>
      <c r="I117" s="16">
        <f>Settings!$B$5+(H117-1)*7+4</f>
        <v/>
      </c>
      <c r="J117" s="13" t="inlineStr">
        <is>
          <t>—</t>
        </is>
      </c>
      <c r="K117" s="13" t="inlineStr">
        <is>
          <t>Developer B</t>
        </is>
      </c>
      <c r="L117" s="13" t="inlineStr">
        <is>
          <t>Yes</t>
        </is>
      </c>
      <c r="M117" s="14" t="inlineStr">
        <is>
          <t>Nothing built yet</t>
        </is>
      </c>
      <c r="N117" s="14" t="inlineStr">
        <is>
          <t>Security reviewer booked</t>
        </is>
      </c>
      <c r="O117" s="17" t="inlineStr">
        <is>
          <t>Not needed</t>
        </is>
      </c>
      <c r="P117" s="17" t="inlineStr">
        <is>
          <t>Not started</t>
        </is>
      </c>
      <c r="Q117" s="13">
        <f>IF(AND(O117="Not needed",P117="Not needed"),"Not needed",IF(OR(O117="Stuck",P117="Stuck"),"Stuck",IF(AND(OR(O117="Done",O117="Not needed"),OR(P117="Done",P117="Not needed")),"Done",IF(AND(OR(O117="Not started",O117="Not needed"),OR(P117="Not started",P117="Not needed")),"Not started",IF(AND(OR(O117="Being checked",O117="Done",O117="Not needed"),OR(P117="Being checked",P117="Done",P117="Not needed")),"Being checked","In progress")))))</f>
        <v/>
      </c>
      <c r="R117" s="18">
        <f>IFERROR((IF(OR(O117="Not needed",O117="Stuck"),0,INDEX(Settings!$E$5:$E$8,MATCH(O117,Settings!$D$5:$D$8,0)))+IF(OR(P117="Not needed",P117="Stuck"),0,INDEX(Settings!$E$5:$E$8,MATCH(P117,Settings!$D$5:$D$8,0))))/((O117&lt;&gt;"Not needed")+(P117&lt;&gt;"Not needed")),0)</f>
        <v/>
      </c>
      <c r="S117" s="19" t="n"/>
    </row>
    <row r="118">
      <c r="A118" s="20" t="n">
        <v>114</v>
      </c>
      <c r="B118" s="21" t="inlineStr">
        <is>
          <t>Launch checks</t>
        </is>
      </c>
      <c r="C118" s="22" t="inlineStr">
        <is>
          <t>Handles many users at once</t>
        </is>
      </c>
      <c r="D118" s="21" t="inlineStr">
        <is>
          <t>The app stays fast with 100 people using it at the same time.</t>
        </is>
      </c>
      <c r="E118" s="21" t="inlineStr">
        <is>
          <t>Speed up slow pages</t>
        </is>
      </c>
      <c r="F118" s="21" t="inlineStr">
        <is>
          <t>Load test and speed fixes</t>
        </is>
      </c>
      <c r="G118" s="21" t="inlineStr">
        <is>
          <t>Phase 5: Launch checks</t>
        </is>
      </c>
      <c r="H118" s="20" t="n">
        <v>13</v>
      </c>
      <c r="I118" s="23">
        <f>Settings!$B$5+(H118-1)*7+4</f>
        <v/>
      </c>
      <c r="J118" s="20" t="inlineStr">
        <is>
          <t>Developer B</t>
        </is>
      </c>
      <c r="K118" s="20" t="inlineStr">
        <is>
          <t>Developer B</t>
        </is>
      </c>
      <c r="L118" s="20" t="inlineStr">
        <is>
          <t>Yes</t>
        </is>
      </c>
      <c r="M118" s="21" t="inlineStr">
        <is>
          <t>Nothing built yet</t>
        </is>
      </c>
      <c r="N118" s="21" t="inlineStr">
        <is>
          <t>—</t>
        </is>
      </c>
      <c r="O118" s="17" t="inlineStr">
        <is>
          <t>Not started</t>
        </is>
      </c>
      <c r="P118" s="17" t="inlineStr">
        <is>
          <t>Not started</t>
        </is>
      </c>
      <c r="Q118" s="20">
        <f>IF(AND(O118="Not needed",P118="Not needed"),"Not needed",IF(OR(O118="Stuck",P118="Stuck"),"Stuck",IF(AND(OR(O118="Done",O118="Not needed"),OR(P118="Done",P118="Not needed")),"Done",IF(AND(OR(O118="Not started",O118="Not needed"),OR(P118="Not started",P118="Not needed")),"Not started",IF(AND(OR(O118="Being checked",O118="Done",O118="Not needed"),OR(P118="Being checked",P118="Done",P118="Not needed")),"Being checked","In progress")))))</f>
        <v/>
      </c>
      <c r="R118" s="24">
        <f>IFERROR((IF(OR(O118="Not needed",O118="Stuck"),0,INDEX(Settings!$E$5:$E$8,MATCH(O118,Settings!$D$5:$D$8,0)))+IF(OR(P118="Not needed",P118="Stuck"),0,INDEX(Settings!$E$5:$E$8,MATCH(P118,Settings!$D$5:$D$8,0))))/((O118&lt;&gt;"Not needed")+(P118&lt;&gt;"Not needed")),0)</f>
        <v/>
      </c>
      <c r="S118" s="19" t="n"/>
    </row>
    <row r="119">
      <c r="A119" s="13" t="n">
        <v>115</v>
      </c>
      <c r="B119" s="14" t="inlineStr">
        <is>
          <t>Launch checks</t>
        </is>
      </c>
      <c r="C119" s="15" t="inlineStr">
        <is>
          <t>Accuracy and running-cost check</t>
        </is>
      </c>
      <c r="D119" s="14" t="inlineStr">
        <is>
          <t>Every AI feature is re-tested, and the AI cost per user fits the price.</t>
        </is>
      </c>
      <c r="E119" s="14" t="inlineStr">
        <is>
          <t>—</t>
        </is>
      </c>
      <c r="F119" s="14" t="inlineStr">
        <is>
          <t>Re-run accuracy tests, reuse earlier results to save cost</t>
        </is>
      </c>
      <c r="G119" s="14" t="inlineStr">
        <is>
          <t>Phase 5: Launch checks</t>
        </is>
      </c>
      <c r="H119" s="13" t="n">
        <v>13</v>
      </c>
      <c r="I119" s="16">
        <f>Settings!$B$5+(H119-1)*7+4</f>
        <v/>
      </c>
      <c r="J119" s="13" t="inlineStr">
        <is>
          <t>—</t>
        </is>
      </c>
      <c r="K119" s="13" t="inlineStr">
        <is>
          <t>Developer A</t>
        </is>
      </c>
      <c r="L119" s="13" t="inlineStr">
        <is>
          <t>Yes</t>
        </is>
      </c>
      <c r="M119" s="14" t="inlineStr">
        <is>
          <t>Result reuse exists for email checks</t>
        </is>
      </c>
      <c r="N119" s="14" t="inlineStr">
        <is>
          <t>—</t>
        </is>
      </c>
      <c r="O119" s="17" t="inlineStr">
        <is>
          <t>Not needed</t>
        </is>
      </c>
      <c r="P119" s="17" t="inlineStr">
        <is>
          <t>Not started</t>
        </is>
      </c>
      <c r="Q119" s="13">
        <f>IF(AND(O119="Not needed",P119="Not needed"),"Not needed",IF(OR(O119="Stuck",P119="Stuck"),"Stuck",IF(AND(OR(O119="Done",O119="Not needed"),OR(P119="Done",P119="Not needed")),"Done",IF(AND(OR(O119="Not started",O119="Not needed"),OR(P119="Not started",P119="Not needed")),"Not started",IF(AND(OR(O119="Being checked",O119="Done",O119="Not needed"),OR(P119="Being checked",P119="Done",P119="Not needed")),"Being checked","In progress")))))</f>
        <v/>
      </c>
      <c r="R119" s="18">
        <f>IFERROR((IF(OR(O119="Not needed",O119="Stuck"),0,INDEX(Settings!$E$5:$E$8,MATCH(O119,Settings!$D$5:$D$8,0)))+IF(OR(P119="Not needed",P119="Stuck"),0,INDEX(Settings!$E$5:$E$8,MATCH(P119,Settings!$D$5:$D$8,0))))/((O119&lt;&gt;"Not needed")+(P119&lt;&gt;"Not needed")),0)</f>
        <v/>
      </c>
      <c r="S119" s="19" t="n"/>
    </row>
    <row r="120">
      <c r="A120" s="20" t="n">
        <v>116</v>
      </c>
      <c r="B120" s="21" t="inlineStr">
        <is>
          <t>Launch checks</t>
        </is>
      </c>
      <c r="C120" s="22" t="inlineStr">
        <is>
          <t>Pilot test and go live</t>
        </is>
      </c>
      <c r="D120" s="21" t="inlineStr">
        <is>
          <t>Pilot users try everything, problems are fixed, then launch.</t>
        </is>
      </c>
      <c r="E120" s="21" t="inlineStr">
        <is>
          <t>Fix screen problems</t>
        </is>
      </c>
      <c r="F120" s="21" t="inlineStr">
        <is>
          <t>Fix backend problems</t>
        </is>
      </c>
      <c r="G120" s="21" t="inlineStr">
        <is>
          <t>Phase 5: Launch checks</t>
        </is>
      </c>
      <c r="H120" s="20" t="n">
        <v>13</v>
      </c>
      <c r="I120" s="23">
        <f>Settings!$B$5+(H120-1)*7+4</f>
        <v/>
      </c>
      <c r="J120" s="20" t="inlineStr">
        <is>
          <t>Developer B</t>
        </is>
      </c>
      <c r="K120" s="20" t="inlineStr">
        <is>
          <t>Developer A</t>
        </is>
      </c>
      <c r="L120" s="20" t="inlineStr">
        <is>
          <t>Yes</t>
        </is>
      </c>
      <c r="M120" s="21" t="inlineStr">
        <is>
          <t>Nothing built yet</t>
        </is>
      </c>
      <c r="N120" s="21" t="inlineStr">
        <is>
          <t>Pilot users</t>
        </is>
      </c>
      <c r="O120" s="17" t="inlineStr">
        <is>
          <t>Not started</t>
        </is>
      </c>
      <c r="P120" s="17" t="inlineStr">
        <is>
          <t>Not started</t>
        </is>
      </c>
      <c r="Q120" s="20">
        <f>IF(AND(O120="Not needed",P120="Not needed"),"Not needed",IF(OR(O120="Stuck",P120="Stuck"),"Stuck",IF(AND(OR(O120="Done",O120="Not needed"),OR(P120="Done",P120="Not needed")),"Done",IF(AND(OR(O120="Not started",O120="Not needed"),OR(P120="Not started",P120="Not needed")),"Not started",IF(AND(OR(O120="Being checked",O120="Done",O120="Not needed"),OR(P120="Being checked",P120="Done",P120="Not needed")),"Being checked","In progress")))))</f>
        <v/>
      </c>
      <c r="R120" s="24">
        <f>IFERROR((IF(OR(O120="Not needed",O120="Stuck"),0,INDEX(Settings!$E$5:$E$8,MATCH(O120,Settings!$D$5:$D$8,0)))+IF(OR(P120="Not needed",P120="Stuck"),0,INDEX(Settings!$E$5:$E$8,MATCH(P120,Settings!$D$5:$D$8,0))))/((O120&lt;&gt;"Not needed")+(P120&lt;&gt;"Not needed")),0)</f>
        <v/>
      </c>
      <c r="S120" s="19" t="n"/>
    </row>
  </sheetData>
  <autoFilter ref="A4:S120"/>
  <conditionalFormatting sqref="O5:Q120">
    <cfRule type="cellIs" priority="1" operator="equal" dxfId="1">
      <formula>"Done"</formula>
    </cfRule>
    <cfRule type="cellIs" priority="2" operator="equal" dxfId="2">
      <formula>"In progress"</formula>
    </cfRule>
    <cfRule type="cellIs" priority="3" operator="equal" dxfId="3">
      <formula>"Being checked"</formula>
    </cfRule>
    <cfRule type="cellIs" priority="4" operator="equal" dxfId="4">
      <formula>"Stuck"</formula>
    </cfRule>
    <cfRule type="cellIs" priority="5" operator="equal" dxfId="5">
      <formula>"Not started"</formula>
    </cfRule>
    <cfRule type="cellIs" priority="6" operator="equal" dxfId="6">
      <formula>"Not needed"</formula>
    </cfRule>
  </conditionalFormatting>
  <conditionalFormatting sqref="R5:R120">
    <cfRule type="dataBar" priority="7">
      <dataBar>
        <cfvo type="num" val="0"/>
        <cfvo type="num" val="1"/>
        <color rgb="005B4CF2"/>
      </dataBar>
    </cfRule>
  </conditionalFormatting>
  <conditionalFormatting sqref="L5:L120">
    <cfRule type="cellIs" priority="8" operator="equal" dxfId="0">
      <formula>"Yes"</formula>
    </cfRule>
  </conditionalFormatting>
  <dataValidations count="4">
    <dataValidation sqref="O5:P120" showDropDown="0" showInputMessage="0" showErrorMessage="1" allowBlank="1" errorTitle="Pick from the list" error="Please choose one of the options in the dropdown." type="list">
      <formula1>=Settings!$D$5:$D$10</formula1>
    </dataValidation>
    <dataValidation sqref="J5:K120" showDropDown="0" showInputMessage="0" showErrorMessage="1" allowBlank="1" errorTitle="Pick from the list" error="Please choose one of the options in the dropdown." type="list">
      <formula1>=Settings!$G$5:$G$7</formula1>
    </dataValidation>
    <dataValidation sqref="L5:L120" showDropDown="0" showInputMessage="0" showErrorMessage="1" allowBlank="1" errorTitle="Pick from the list" error="Please choose one of the options in the dropdown." type="list">
      <formula1>=Settings!$H$5:$H$6</formula1>
    </dataValidation>
    <dataValidation sqref="G5:G120" showDropDown="0" showInputMessage="0" showErrorMessage="1" allowBlank="1" errorTitle="Pick from the list" error="Please choose one of the options in the dropdown." type="list">
      <formula1>=Settings!$I$5:$I$9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J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50" customWidth="1" min="4" max="4"/>
    <col width="50" customWidth="1" min="5" max="5"/>
    <col width="26" customWidth="1" min="6" max="6"/>
    <col width="13" customWidth="1" min="7" max="7"/>
    <col width="10" customWidth="1" min="8" max="8"/>
    <col width="10" customWidth="1" min="9" max="9"/>
    <col width="30" customWidth="1" min="10" max="10"/>
  </cols>
  <sheetData>
    <row r="1" ht="24" customHeight="1">
      <c r="A1" s="1" t="inlineStr">
        <is>
          <t>Weekly plan: 2 developers, 13 weeks</t>
        </is>
      </c>
    </row>
    <row r="2">
      <c r="A2" s="2" t="inlineStr">
        <is>
          <t>What each developer delivers each week. Developer A builds the engines behind the screens; Developer B builds the screens and the platform. Every Friday: join the work up and show the client.</t>
        </is>
      </c>
    </row>
    <row r="4" ht="34" customHeight="1">
      <c r="A4" s="8" t="inlineStr">
        <is>
          <t>Week</t>
        </is>
      </c>
      <c r="B4" s="8" t="inlineStr">
        <is>
          <t>Starts</t>
        </is>
      </c>
      <c r="C4" s="8" t="inlineStr">
        <is>
          <t>Phase</t>
        </is>
      </c>
      <c r="D4" s="8" t="inlineStr">
        <is>
          <t>Developer A delivers (engines)</t>
        </is>
      </c>
      <c r="E4" s="8" t="inlineStr">
        <is>
          <t>Developer B delivers (screens and platform)</t>
        </is>
      </c>
      <c r="F4" s="8" t="inlineStr">
        <is>
          <t>Checkpoint / milestone</t>
        </is>
      </c>
      <c r="G4" s="8" t="inlineStr">
        <is>
          <t>Status</t>
        </is>
      </c>
      <c r="H4" s="8" t="inlineStr">
        <is>
          <t>Features due</t>
        </is>
      </c>
      <c r="I4" s="8" t="inlineStr">
        <is>
          <t>Features done</t>
        </is>
      </c>
      <c r="J4" s="8" t="inlineStr">
        <is>
          <t>Notes</t>
        </is>
      </c>
    </row>
    <row r="5">
      <c r="A5" s="13" t="n">
        <v>1</v>
      </c>
      <c r="B5" s="16">
        <f>Settings!$B$5+(A5-1)*7</f>
        <v/>
      </c>
      <c r="C5" s="14" t="inlineStr">
        <is>
          <t>Phase 1: Accounts and job matching</t>
        </is>
      </c>
      <c r="D5" s="14" t="inlineStr">
        <is>
          <t>Read skills, certifications, experience and keywords from job descriptions; testing kit to measure accuracy</t>
        </is>
      </c>
      <c r="E5" s="14" t="inlineStr">
        <is>
          <t>Database; secure sign-up and login for all account types; permission screen; put the app online</t>
        </is>
      </c>
      <c r="F5" s="14" t="inlineStr">
        <is>
          <t>—</t>
        </is>
      </c>
      <c r="G5" s="17" t="inlineStr">
        <is>
          <t>Not started</t>
        </is>
      </c>
      <c r="H5" s="13">
        <f>COUNTIF(Features!$H$5:$H$120,A5)</f>
        <v/>
      </c>
      <c r="I5" s="13">
        <f>COUNTIFS(Features!$H$5:$H$120,A5,Features!$Q$5:$Q$120,"Done")</f>
        <v/>
      </c>
      <c r="J5" s="19" t="n"/>
    </row>
    <row r="6">
      <c r="A6" s="13" t="n">
        <v>2</v>
      </c>
      <c r="B6" s="16">
        <f>Settings!$B$5+(A6-1)*7</f>
        <v/>
      </c>
      <c r="C6" s="14" t="inlineStr">
        <is>
          <t>Phase 1: Accounts and job matching</t>
        </is>
      </c>
      <c r="D6" s="14" t="inlineStr">
        <is>
          <t>Collect jobs (company sites, job-board feed, pasted jobs); remove duplicates; read uploaded resumes</t>
        </is>
      </c>
      <c r="E6" s="14" t="inlineStr">
        <is>
          <t>Profile page; resume and photo upload; jobs page with search, filters, save and alerts</t>
        </is>
      </c>
      <c r="F6" s="14" t="inlineStr">
        <is>
          <t>—</t>
        </is>
      </c>
      <c r="G6" s="17" t="inlineStr">
        <is>
          <t>Not started</t>
        </is>
      </c>
      <c r="H6" s="13">
        <f>COUNTIF(Features!$H$5:$H$120,A6)</f>
        <v/>
      </c>
      <c r="I6" s="13">
        <f>COUNTIFS(Features!$H$5:$H$120,A6,Features!$Q$5:$Q$120,"Done")</f>
        <v/>
      </c>
      <c r="J6" s="19" t="n"/>
    </row>
    <row r="7">
      <c r="A7" s="13" t="n">
        <v>3</v>
      </c>
      <c r="B7" s="16">
        <f>Settings!$B$5+(A7-1)*7</f>
        <v/>
      </c>
      <c r="C7" s="14" t="inlineStr">
        <is>
          <t>Phase 1: Accounts and job matching</t>
        </is>
      </c>
      <c r="D7" s="14" t="inlineStr">
        <is>
          <t>Match score, readiness and ranking for every job, with reasons; skills in demand</t>
        </is>
      </c>
      <c r="E7" s="14" t="inlineStr">
        <is>
          <t>Home dashboard on real numbers; top matches; alert notifications; welcome steps</t>
        </is>
      </c>
      <c r="F7" s="25" t="inlineStr">
        <is>
          <t>Checkpoint 1</t>
        </is>
      </c>
      <c r="G7" s="17" t="inlineStr">
        <is>
          <t>Not started</t>
        </is>
      </c>
      <c r="H7" s="13">
        <f>COUNTIF(Features!$H$5:$H$120,A7)</f>
        <v/>
      </c>
      <c r="I7" s="13">
        <f>COUNTIFS(Features!$H$5:$H$120,A7,Features!$Q$5:$Q$120,"Done")</f>
        <v/>
      </c>
      <c r="J7" s="19" t="n"/>
    </row>
    <row r="8">
      <c r="A8" s="13" t="n">
        <v>4</v>
      </c>
      <c r="B8" s="16">
        <f>Settings!$B$5+(A8-1)*7</f>
        <v/>
      </c>
      <c r="C8" s="14" t="inlineStr">
        <is>
          <t>Phase 2: Resumes, learning and own voice</t>
        </is>
      </c>
      <c r="D8" s="14" t="inlineStr">
        <is>
          <t>Learn each user's writing voice (4 profiles); find missing skills, experience and certifications</t>
        </is>
      </c>
      <c r="E8" s="14" t="inlineStr">
        <is>
          <t>Writing-sample upload with permission; profile review page; gaps page</t>
        </is>
      </c>
      <c r="F8" s="14" t="inlineStr">
        <is>
          <t>—</t>
        </is>
      </c>
      <c r="G8" s="17" t="inlineStr">
        <is>
          <t>Not started</t>
        </is>
      </c>
      <c r="H8" s="13">
        <f>COUNTIF(Features!$H$5:$H$120,A8)</f>
        <v/>
      </c>
      <c r="I8" s="13">
        <f>COUNTIFS(Features!$H$5:$H$120,A8,Features!$Q$5:$Q$120,"Done")</f>
        <v/>
      </c>
      <c r="J8" s="19" t="n"/>
    </row>
    <row r="9">
      <c r="A9" s="13" t="n">
        <v>5</v>
      </c>
      <c r="B9" s="16">
        <f>Settings!$B$5+(A9-1)*7</f>
        <v/>
      </c>
      <c r="C9" s="14" t="inlineStr">
        <is>
          <t>Phase 2: Resumes, learning and own voice</t>
        </is>
      </c>
      <c r="D9" s="14" t="inlineStr">
        <is>
          <t>Write three resume types in the user's voice; tailor to a job; resume score</t>
        </is>
      </c>
      <c r="E9" s="14" t="inlineStr">
        <is>
          <t>Resume studio: create, compare, keep versions, download Word or PDF</t>
        </is>
      </c>
      <c r="F9" s="14" t="inlineStr">
        <is>
          <t>—</t>
        </is>
      </c>
      <c r="G9" s="17" t="inlineStr">
        <is>
          <t>Not started</t>
        </is>
      </c>
      <c r="H9" s="13">
        <f>COUNTIF(Features!$H$5:$H$120,A9)</f>
        <v/>
      </c>
      <c r="I9" s="13">
        <f>COUNTIFS(Features!$H$5:$H$120,A9,Features!$Q$5:$Q$120,"Done")</f>
        <v/>
      </c>
      <c r="J9" s="19" t="n"/>
    </row>
    <row r="10">
      <c r="A10" s="13" t="n">
        <v>6</v>
      </c>
      <c r="B10" s="16">
        <f>Settings!$B$5+(A10-1)*7</f>
        <v/>
      </c>
      <c r="C10" s="14" t="inlineStr">
        <is>
          <t>Phase 2: Resumes, learning and own voice</t>
        </is>
      </c>
      <c r="D10" s="14" t="inlineStr">
        <is>
          <t>Learning plans, roadmap, courses, certification plan; overall readiness; catch AI-sounding text</t>
        </is>
      </c>
      <c r="E10" s="14" t="inlineStr">
        <is>
          <t>Learning page with progress and streaks; readiness ring; download or delete writing samples</t>
        </is>
      </c>
      <c r="F10" s="25" t="inlineStr">
        <is>
          <t>Checkpoint 2</t>
        </is>
      </c>
      <c r="G10" s="17" t="inlineStr">
        <is>
          <t>Not started</t>
        </is>
      </c>
      <c r="H10" s="13">
        <f>COUNTIF(Features!$H$5:$H$120,A10)</f>
        <v/>
      </c>
      <c r="I10" s="13">
        <f>COUNTIFS(Features!$H$5:$H$120,A10,Features!$Q$5:$Q$120,"Done")</f>
        <v/>
      </c>
      <c r="J10" s="19" t="n"/>
    </row>
    <row r="11">
      <c r="A11" s="13" t="n">
        <v>7</v>
      </c>
      <c r="B11" s="16">
        <f>Settings!$B$5+(A11-1)*7</f>
        <v/>
      </c>
      <c r="C11" s="14" t="inlineStr">
        <is>
          <t>Phase 3: Interview practice and LinkedIn</t>
        </is>
      </c>
      <c r="D11" s="14" t="inlineStr">
        <is>
          <t>Interview practice engine: 6 scenario types, follow-up questions, 12 starter scenarios</t>
        </is>
      </c>
      <c r="E11" s="14" t="inlineStr">
        <is>
          <t>Practice screen: type or speak answers, timer, save sessions</t>
        </is>
      </c>
      <c r="F11" s="14" t="inlineStr">
        <is>
          <t>—</t>
        </is>
      </c>
      <c r="G11" s="17" t="inlineStr">
        <is>
          <t>Not started</t>
        </is>
      </c>
      <c r="H11" s="13">
        <f>COUNTIF(Features!$H$5:$H$120,A11)</f>
        <v/>
      </c>
      <c r="I11" s="13">
        <f>COUNTIFS(Features!$H$5:$H$120,A11,Features!$Q$5:$Q$120,"Done")</f>
        <v/>
      </c>
      <c r="J11" s="19" t="n"/>
    </row>
    <row r="12">
      <c r="A12" s="13" t="n">
        <v>8</v>
      </c>
      <c r="B12" s="16">
        <f>Settings!$B$5+(A12-1)*7</f>
        <v/>
      </c>
      <c r="C12" s="14" t="inlineStr">
        <is>
          <t>Phase 3: Interview practice and LinkedIn</t>
        </is>
      </c>
      <c r="D12" s="14" t="inlineStr">
        <is>
          <t>Scores for technical depth, communication, leadership and decisions; feedback and model answers</t>
        </is>
      </c>
      <c r="E12" s="14" t="inlineStr">
        <is>
          <t>Results page; improvement over time</t>
        </is>
      </c>
      <c r="F12" s="14" t="inlineStr">
        <is>
          <t>—</t>
        </is>
      </c>
      <c r="G12" s="17" t="inlineStr">
        <is>
          <t>Not started</t>
        </is>
      </c>
      <c r="H12" s="13">
        <f>COUNTIF(Features!$H$5:$H$120,A12)</f>
        <v/>
      </c>
      <c r="I12" s="13">
        <f>COUNTIFS(Features!$H$5:$H$120,A12,Features!$Q$5:$Q$120,"Done")</f>
        <v/>
      </c>
      <c r="J12" s="19" t="n"/>
    </row>
    <row r="13">
      <c r="A13" s="13" t="n">
        <v>9</v>
      </c>
      <c r="B13" s="16">
        <f>Settings!$B$5+(A13-1)*7</f>
        <v/>
      </c>
      <c r="C13" s="14" t="inlineStr">
        <is>
          <t>Phase 3: Interview practice and LinkedIn</t>
        </is>
      </c>
      <c r="D13" s="14" t="inlineStr">
        <is>
          <t>LinkedIn posts and articles in the user's voice; content plan; outreach messages</t>
        </is>
      </c>
      <c r="E13" s="14" t="inlineStr">
        <is>
          <t>Content calendar; outreach campaigns, follow-up reminders, replies</t>
        </is>
      </c>
      <c r="F13" s="25" t="inlineStr">
        <is>
          <t>Checkpoint 3</t>
        </is>
      </c>
      <c r="G13" s="17" t="inlineStr">
        <is>
          <t>Not started</t>
        </is>
      </c>
      <c r="H13" s="13">
        <f>COUNTIF(Features!$H$5:$H$120,A13)</f>
        <v/>
      </c>
      <c r="I13" s="13">
        <f>COUNTIFS(Features!$H$5:$H$120,A13,Features!$Q$5:$Q$120,"Done")</f>
        <v/>
      </c>
      <c r="J13" s="19" t="n"/>
    </row>
    <row r="14">
      <c r="A14" s="13" t="n">
        <v>10</v>
      </c>
      <c r="B14" s="16">
        <f>Settings!$B$5+(A14-1)*7</f>
        <v/>
      </c>
      <c r="C14" s="14" t="inlineStr">
        <is>
          <t>Phase 4: Progress tracking and organisations</t>
        </is>
      </c>
      <c r="D14" s="14" t="inlineStr">
        <is>
          <t>Progress, interview and success-rate figures; technology trends, next roles, certification advice, salaries</t>
        </is>
      </c>
      <c r="E14" s="14" t="inlineStr">
        <is>
          <t>Progress dashboard; application board; trends page</t>
        </is>
      </c>
      <c r="F14" s="14" t="inlineStr">
        <is>
          <t>—</t>
        </is>
      </c>
      <c r="G14" s="17" t="inlineStr">
        <is>
          <t>Not started</t>
        </is>
      </c>
      <c r="H14" s="13">
        <f>COUNTIF(Features!$H$5:$H$120,A14)</f>
        <v/>
      </c>
      <c r="I14" s="13">
        <f>COUNTIFS(Features!$H$5:$H$120,A14,Features!$Q$5:$Q$120,"Done")</f>
        <v/>
      </c>
      <c r="J14" s="19" t="n"/>
    </row>
    <row r="15">
      <c r="A15" s="13" t="n">
        <v>11</v>
      </c>
      <c r="B15" s="16">
        <f>Settings!$B$5+(A15-1)*7</f>
        <v/>
      </c>
      <c r="C15" s="14" t="inlineStr">
        <is>
          <t>Phase 4: Progress tracking and organisations</t>
        </is>
      </c>
      <c r="D15" s="14" t="inlineStr">
        <is>
          <t>Keep each organisation's data separate; staffing firm matching; group figures</t>
        </is>
      </c>
      <c r="E15" s="14" t="inlineStr">
        <is>
          <t>Admin pages (people, groups, spreadsheet upload); group dashboard</t>
        </is>
      </c>
      <c r="F15" s="14" t="inlineStr">
        <is>
          <t>—</t>
        </is>
      </c>
      <c r="G15" s="17" t="inlineStr">
        <is>
          <t>Not started</t>
        </is>
      </c>
      <c r="H15" s="13">
        <f>COUNTIF(Features!$H$5:$H$120,A15)</f>
        <v/>
      </c>
      <c r="I15" s="13">
        <f>COUNTIFS(Features!$H$5:$H$120,A15,Features!$Q$5:$Q$120,"Done")</f>
        <v/>
      </c>
      <c r="J15" s="19" t="n"/>
    </row>
    <row r="16">
      <c r="A16" s="13" t="n">
        <v>12</v>
      </c>
      <c r="B16" s="16">
        <f>Settings!$B$5+(A16-1)*7</f>
        <v/>
      </c>
      <c r="C16" s="14" t="inlineStr">
        <is>
          <t>Phase 4: Progress tracking and organisations</t>
        </is>
      </c>
      <c r="D16" s="14" t="inlineStr">
        <is>
          <t>Connection points for other company systems</t>
        </is>
      </c>
      <c r="E16" s="14" t="inlineStr">
        <is>
          <t>Payments for programs and licences; coaching booking; admin vs member access</t>
        </is>
      </c>
      <c r="F16" s="25" t="inlineStr">
        <is>
          <t>Checkpoint 4</t>
        </is>
      </c>
      <c r="G16" s="17" t="inlineStr">
        <is>
          <t>Not started</t>
        </is>
      </c>
      <c r="H16" s="13">
        <f>COUNTIF(Features!$H$5:$H$120,A16)</f>
        <v/>
      </c>
      <c r="I16" s="13">
        <f>COUNTIFS(Features!$H$5:$H$120,A16,Features!$Q$5:$Q$120,"Done")</f>
        <v/>
      </c>
      <c r="J16" s="19" t="n"/>
    </row>
    <row r="17">
      <c r="A17" s="13" t="n">
        <v>13</v>
      </c>
      <c r="B17" s="16">
        <f>Settings!$B$5+(A17-1)*7</f>
        <v/>
      </c>
      <c r="C17" s="14" t="inlineStr">
        <is>
          <t>Phase 5: Launch checks</t>
        </is>
      </c>
      <c r="D17" s="14" t="inlineStr">
        <is>
          <t>Re-test accuracy; check AI cost per user</t>
        </is>
      </c>
      <c r="E17" s="14" t="inlineStr">
        <is>
          <t>Security fixes; download/delete all data; speed test with 100 users; backups</t>
        </is>
      </c>
      <c r="F17" s="25" t="inlineStr">
        <is>
          <t>Launch (8 Jan 2027 if the team takes the year-end break)</t>
        </is>
      </c>
      <c r="G17" s="17" t="inlineStr">
        <is>
          <t>Not started</t>
        </is>
      </c>
      <c r="H17" s="13">
        <f>COUNTIF(Features!$H$5:$H$120,A17)</f>
        <v/>
      </c>
      <c r="I17" s="13">
        <f>COUNTIFS(Features!$H$5:$H$120,A17,Features!$Q$5:$Q$120,"Done")</f>
        <v/>
      </c>
      <c r="J17" s="19" t="n"/>
    </row>
  </sheetData>
  <conditionalFormatting sqref="G5:G17">
    <cfRule type="cellIs" priority="1" operator="equal" dxfId="1">
      <formula>"Done"</formula>
    </cfRule>
    <cfRule type="cellIs" priority="2" operator="equal" dxfId="2">
      <formula>"In progress"</formula>
    </cfRule>
    <cfRule type="cellIs" priority="3" operator="equal" dxfId="3">
      <formula>"Being checked"</formula>
    </cfRule>
    <cfRule type="cellIs" priority="4" operator="equal" dxfId="4">
      <formula>"Stuck"</formula>
    </cfRule>
    <cfRule type="cellIs" priority="5" operator="equal" dxfId="5">
      <formula>"Not started"</formula>
    </cfRule>
    <cfRule type="cellIs" priority="6" operator="equal" dxfId="6">
      <formula>"Not needed"</formula>
    </cfRule>
  </conditionalFormatting>
  <dataValidations count="1">
    <dataValidation sqref="G5:G17" showDropDown="0" showInputMessage="0" showErrorMessage="0" allowBlank="0" type="list">
      <formula1>=Settings!$D$5:$D$10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78841"/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54" customWidth="1" min="4" max="4"/>
    <col width="10" customWidth="1" min="5" max="5"/>
    <col width="14" customWidth="1" min="6" max="6"/>
    <col width="12" customWidth="1" min="7" max="7"/>
    <col width="12" customWidth="1" min="8" max="8"/>
    <col width="22" customWidth="1" min="9" max="9"/>
  </cols>
  <sheetData>
    <row r="1" ht="24" customHeight="1">
      <c r="A1" s="1" t="inlineStr">
        <is>
          <t>Checkpoints: what must be true before moving to the next phase</t>
        </is>
      </c>
    </row>
    <row r="2">
      <c r="A2" s="2" t="inlineStr">
        <is>
          <t>Type the measured number in the yellow 'Result we got' column. 'Passed?' fills itself in. Targets (blue) are from the 13-week plan.</t>
        </is>
      </c>
    </row>
    <row r="4" ht="34" customHeight="1">
      <c r="A4" s="8" t="inlineStr">
        <is>
          <t>Checkpoint</t>
        </is>
      </c>
      <c r="B4" s="8" t="inlineStr">
        <is>
          <t>Week</t>
        </is>
      </c>
      <c r="C4" s="8" t="inlineStr">
        <is>
          <t>Date</t>
        </is>
      </c>
      <c r="D4" s="8" t="inlineStr">
        <is>
          <t>What we measure</t>
        </is>
      </c>
      <c r="E4" s="8" t="inlineStr">
        <is>
          <t>Target</t>
        </is>
      </c>
      <c r="F4" s="8" t="inlineStr">
        <is>
          <t>Need</t>
        </is>
      </c>
      <c r="G4" s="8" t="inlineStr">
        <is>
          <t>Result we got</t>
        </is>
      </c>
      <c r="H4" s="8" t="inlineStr">
        <is>
          <t>Passed?</t>
        </is>
      </c>
      <c r="I4" s="8" t="inlineStr">
        <is>
          <t>Who measures it</t>
        </is>
      </c>
    </row>
    <row r="5">
      <c r="A5" s="13" t="inlineStr">
        <is>
          <t>Checkpoint 1</t>
        </is>
      </c>
      <c r="B5" s="13" t="n">
        <v>3</v>
      </c>
      <c r="C5" s="16">
        <f>Settings!$B$5+(B5-1)*7+4</f>
        <v/>
      </c>
      <c r="D5" s="14" t="inlineStr">
        <is>
          <t>Share of required skills the app finds in job descriptions (vs experts)</t>
        </is>
      </c>
      <c r="E5" s="26" t="n">
        <v>0.9</v>
      </c>
      <c r="F5" s="13" t="inlineStr">
        <is>
          <t>at least</t>
        </is>
      </c>
      <c r="G5" s="27" t="n"/>
      <c r="H5" s="13">
        <f>IF(G5="","Not measured",IF(IF(F5="at least",G5&gt;=E5,G5&lt;=E5),"Passed","Not yet"))</f>
        <v/>
      </c>
      <c r="I5" s="14" t="inlineStr">
        <is>
          <t>Developer A + experts</t>
        </is>
      </c>
    </row>
    <row r="6">
      <c r="A6" s="13" t="inlineStr">
        <is>
          <t>Checkpoint 1</t>
        </is>
      </c>
      <c r="B6" s="13" t="n">
        <v>3</v>
      </c>
      <c r="C6" s="16">
        <f>Settings!$B$5+(B6-1)*7+4</f>
        <v/>
      </c>
      <c r="D6" s="14" t="inlineStr">
        <is>
          <t>Share of test candidates where experts agree with the top 3 jobs</t>
        </is>
      </c>
      <c r="E6" s="26" t="n">
        <v>0.8</v>
      </c>
      <c r="F6" s="13" t="inlineStr">
        <is>
          <t>at least</t>
        </is>
      </c>
      <c r="G6" s="27" t="n"/>
      <c r="H6" s="13">
        <f>IF(G6="","Not measured",IF(IF(F6="at least",G6&gt;=E6,G6&lt;=E6),"Passed","Not yet"))</f>
        <v/>
      </c>
      <c r="I6" s="14" t="inlineStr">
        <is>
          <t>Client experts</t>
        </is>
      </c>
    </row>
    <row r="7">
      <c r="A7" s="13" t="inlineStr">
        <is>
          <t>Checkpoint 1</t>
        </is>
      </c>
      <c r="B7" s="13" t="n">
        <v>3</v>
      </c>
      <c r="C7" s="16">
        <f>Settings!$B$5+(B7-1)*7+4</f>
        <v/>
      </c>
      <c r="D7" s="14" t="inlineStr">
        <is>
          <t>Pilot users signed up</t>
        </is>
      </c>
      <c r="E7" s="28" t="n">
        <v>10</v>
      </c>
      <c r="F7" s="13" t="inlineStr">
        <is>
          <t>at least</t>
        </is>
      </c>
      <c r="G7" s="29" t="n"/>
      <c r="H7" s="13">
        <f>IF(G7="","Not measured",IF(IF(F7="at least",G7&gt;=E7,G7&lt;=E7),"Passed","Not yet"))</f>
        <v/>
      </c>
      <c r="I7" s="14" t="inlineStr">
        <is>
          <t>Project lead</t>
        </is>
      </c>
    </row>
    <row r="8">
      <c r="A8" s="13" t="inlineStr">
        <is>
          <t>Checkpoint 2</t>
        </is>
      </c>
      <c r="B8" s="13" t="n">
        <v>6</v>
      </c>
      <c r="C8" s="16">
        <f>Settings!$B$5+(B8-1)*7+4</f>
        <v/>
      </c>
      <c r="D8" s="14" t="inlineStr">
        <is>
          <t>Share of generated resumes that pass the screening-software check</t>
        </is>
      </c>
      <c r="E8" s="26" t="n">
        <v>0.9</v>
      </c>
      <c r="F8" s="13" t="inlineStr">
        <is>
          <t>at least</t>
        </is>
      </c>
      <c r="G8" s="27" t="n"/>
      <c r="H8" s="13">
        <f>IF(G8="","Not measured",IF(IF(F8="at least",G8&gt;=E8,G8&lt;=E8),"Passed","Not yet"))</f>
        <v/>
      </c>
      <c r="I8" s="14" t="inlineStr">
        <is>
          <t>Developer A</t>
        </is>
      </c>
    </row>
    <row r="9">
      <c r="A9" s="13" t="inlineStr">
        <is>
          <t>Checkpoint 2</t>
        </is>
      </c>
      <c r="B9" s="13" t="n">
        <v>6</v>
      </c>
      <c r="C9" s="16">
        <f>Settings!$B$5+(B9-1)*7+4</f>
        <v/>
      </c>
      <c r="D9" s="14" t="inlineStr">
        <is>
          <t>Share of pilot users who prefer the own-voice resume (blind test)</t>
        </is>
      </c>
      <c r="E9" s="26" t="n">
        <v>0.7</v>
      </c>
      <c r="F9" s="13" t="inlineStr">
        <is>
          <t>at least</t>
        </is>
      </c>
      <c r="G9" s="27" t="n"/>
      <c r="H9" s="13">
        <f>IF(G9="","Not measured",IF(IF(F9="at least",G9&gt;=E9,G9&lt;=E9),"Passed","Not yet"))</f>
        <v/>
      </c>
      <c r="I9" s="14" t="inlineStr">
        <is>
          <t>Pilot users</t>
        </is>
      </c>
    </row>
    <row r="10">
      <c r="A10" s="13" t="inlineStr">
        <is>
          <t>Checkpoint 3</t>
        </is>
      </c>
      <c r="B10" s="13" t="n">
        <v>9</v>
      </c>
      <c r="C10" s="16">
        <f>Settings!$B$5+(B10-1)*7+4</f>
        <v/>
      </c>
      <c r="D10" s="14" t="inlineStr">
        <is>
          <t>Interview scenarios approved by client experts</t>
        </is>
      </c>
      <c r="E10" s="28" t="n">
        <v>12</v>
      </c>
      <c r="F10" s="13" t="inlineStr">
        <is>
          <t>at least</t>
        </is>
      </c>
      <c r="G10" s="29" t="n"/>
      <c r="H10" s="13">
        <f>IF(G10="","Not measured",IF(IF(F10="at least",G10&gt;=E10,G10&lt;=E10),"Passed","Not yet"))</f>
        <v/>
      </c>
      <c r="I10" s="14" t="inlineStr">
        <is>
          <t>Client experts</t>
        </is>
      </c>
    </row>
    <row r="11">
      <c r="A11" s="13" t="inlineStr">
        <is>
          <t>Checkpoint 3</t>
        </is>
      </c>
      <c r="B11" s="13" t="n">
        <v>9</v>
      </c>
      <c r="C11" s="16">
        <f>Settings!$B$5+(B11-1)*7+4</f>
        <v/>
      </c>
      <c r="D11" s="14" t="inlineStr">
        <is>
          <t>Share of answers where the app's score is within 1 point of the expert's</t>
        </is>
      </c>
      <c r="E11" s="26" t="n">
        <v>0.8</v>
      </c>
      <c r="F11" s="13" t="inlineStr">
        <is>
          <t>at least</t>
        </is>
      </c>
      <c r="G11" s="27" t="n"/>
      <c r="H11" s="13">
        <f>IF(G11="","Not measured",IF(IF(F11="at least",G11&gt;=E11,G11&lt;=E11),"Passed","Not yet"))</f>
        <v/>
      </c>
      <c r="I11" s="14" t="inlineStr">
        <is>
          <t>Developer A + experts</t>
        </is>
      </c>
    </row>
    <row r="12">
      <c r="A12" s="13" t="inlineStr">
        <is>
          <t>Checkpoint 4</t>
        </is>
      </c>
      <c r="B12" s="13" t="n">
        <v>12</v>
      </c>
      <c r="C12" s="16">
        <f>Settings!$B$5+(B12-1)*7+4</f>
        <v/>
      </c>
      <c r="D12" s="14" t="inlineStr">
        <is>
          <t>Organisations live with a group of users</t>
        </is>
      </c>
      <c r="E12" s="28" t="n">
        <v>1</v>
      </c>
      <c r="F12" s="13" t="inlineStr">
        <is>
          <t>at least</t>
        </is>
      </c>
      <c r="G12" s="29" t="n"/>
      <c r="H12" s="13">
        <f>IF(G12="","Not measured",IF(IF(F12="at least",G12&gt;=E12,G12&lt;=E12),"Passed","Not yet"))</f>
        <v/>
      </c>
      <c r="I12" s="14" t="inlineStr">
        <is>
          <t>Developer B</t>
        </is>
      </c>
    </row>
    <row r="13">
      <c r="A13" s="13" t="inlineStr">
        <is>
          <t>Checkpoint 4</t>
        </is>
      </c>
      <c r="B13" s="13" t="n">
        <v>12</v>
      </c>
      <c r="C13" s="16">
        <f>Settings!$B$5+(B13-1)*7+4</f>
        <v/>
      </c>
      <c r="D13" s="14" t="inlineStr">
        <is>
          <t>Times one organisation could see another's data in tests</t>
        </is>
      </c>
      <c r="E13" s="28" t="n">
        <v>0</v>
      </c>
      <c r="F13" s="13" t="inlineStr">
        <is>
          <t>at most</t>
        </is>
      </c>
      <c r="G13" s="29" t="n"/>
      <c r="H13" s="13">
        <f>IF(G13="","Not measured",IF(IF(F13="at least",G13&gt;=E13,G13&lt;=E13),"Passed","Not yet"))</f>
        <v/>
      </c>
      <c r="I13" s="14" t="inlineStr">
        <is>
          <t>Developer A</t>
        </is>
      </c>
    </row>
    <row r="14">
      <c r="A14" s="13" t="inlineStr">
        <is>
          <t>Launch</t>
        </is>
      </c>
      <c r="B14" s="13" t="n">
        <v>13</v>
      </c>
      <c r="C14" s="16">
        <f>Settings!$B$5+(B14-1)*7+4</f>
        <v/>
      </c>
      <c r="D14" s="14" t="inlineStr">
        <is>
          <t>Serious security problems still open</t>
        </is>
      </c>
      <c r="E14" s="28" t="n">
        <v>0</v>
      </c>
      <c r="F14" s="13" t="inlineStr">
        <is>
          <t>at most</t>
        </is>
      </c>
      <c r="G14" s="29" t="n"/>
      <c r="H14" s="13">
        <f>IF(G14="","Not measured",IF(IF(F14="at least",G14&gt;=E14,G14&lt;=E14),"Passed","Not yet"))</f>
        <v/>
      </c>
      <c r="I14" s="14" t="inlineStr">
        <is>
          <t>Security reviewer</t>
        </is>
      </c>
    </row>
    <row r="15">
      <c r="A15" s="13" t="inlineStr">
        <is>
          <t>Launch</t>
        </is>
      </c>
      <c r="B15" s="13" t="n">
        <v>13</v>
      </c>
      <c r="C15" s="16">
        <f>Settings!$B$5+(B15-1)*7+4</f>
        <v/>
      </c>
      <c r="D15" s="14" t="inlineStr">
        <is>
          <t>People using the app at once without slowdown</t>
        </is>
      </c>
      <c r="E15" s="28" t="n">
        <v>100</v>
      </c>
      <c r="F15" s="13" t="inlineStr">
        <is>
          <t>at least</t>
        </is>
      </c>
      <c r="G15" s="29" t="n"/>
      <c r="H15" s="13">
        <f>IF(G15="","Not measured",IF(IF(F15="at least",G15&gt;=E15,G15&lt;=E15),"Passed","Not yet"))</f>
        <v/>
      </c>
      <c r="I15" s="14" t="inlineStr">
        <is>
          <t>Developer B</t>
        </is>
      </c>
    </row>
    <row r="17">
      <c r="A17" s="30" t="inlineStr">
        <is>
          <t>Percentages: type 0.85 for 85%.</t>
        </is>
      </c>
    </row>
  </sheetData>
  <conditionalFormatting sqref="H5:H15">
    <cfRule type="cellIs" priority="1" operator="equal" dxfId="1">
      <formula>"Passed"</formula>
    </cfRule>
    <cfRule type="cellIs" priority="2" operator="equal" dxfId="4">
      <formula>"Not yet"</formula>
    </cfRule>
    <cfRule type="cellIs" priority="3" operator="equal" dxfId="5">
      <formula>"Not measured"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26A05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4" customHeight="1">
      <c r="A1" s="1" t="inlineStr">
        <is>
          <t>Glossary</t>
        </is>
      </c>
    </row>
    <row r="2">
      <c r="A2" s="2" t="inlineStr">
        <is>
          <t>Plain meanings for the few technical words used in this workbook.</t>
        </is>
      </c>
    </row>
    <row r="4" ht="34" customHeight="1">
      <c r="A4" s="8" t="inlineStr">
        <is>
          <t>Term</t>
        </is>
      </c>
      <c r="B4" s="8" t="inlineStr">
        <is>
          <t>What it means</t>
        </is>
      </c>
    </row>
    <row r="5">
      <c r="A5" s="15" t="inlineStr">
        <is>
          <t>Screen work (frontend)</t>
        </is>
      </c>
      <c r="B5" s="14" t="inlineStr">
        <is>
          <t>Everything the user sees and clicks: pages, buttons, forms, charts.</t>
        </is>
      </c>
    </row>
    <row r="6">
      <c r="A6" s="15" t="inlineStr">
        <is>
          <t>Backend work</t>
        </is>
      </c>
      <c r="B6" s="14" t="inlineStr">
        <is>
          <t>The work behind the screens: saving data, AI, calculations, connecting to other services.</t>
        </is>
      </c>
    </row>
    <row r="7">
      <c r="A7" s="15" t="inlineStr">
        <is>
          <t>Developer A</t>
        </is>
      </c>
      <c r="B7" s="14" t="inlineStr">
        <is>
          <t>Builds the engines behind the screens: job collection, matching, AI writing, scoring, analytics.</t>
        </is>
      </c>
    </row>
    <row r="8">
      <c r="A8" s="15" t="inlineStr">
        <is>
          <t>Developer B</t>
        </is>
      </c>
      <c r="B8" s="14" t="inlineStr">
        <is>
          <t>Builds the screens and the platform: pages, logins, database, payments, admin, hosting.</t>
        </is>
      </c>
    </row>
    <row r="9">
      <c r="A9" s="15" t="inlineStr">
        <is>
          <t>ATS (applicant tracking system)</t>
        </is>
      </c>
      <c r="B9" s="14" t="inlineStr">
        <is>
          <t>Software employers use to filter resumes automatically before a person reads them.</t>
        </is>
      </c>
    </row>
    <row r="10">
      <c r="A10" s="15" t="inlineStr">
        <is>
          <t>Job description</t>
        </is>
      </c>
      <c r="B10" s="14" t="inlineStr">
        <is>
          <t>The text of a job advert: duties, required skills, experience.</t>
        </is>
      </c>
    </row>
    <row r="11">
      <c r="A11" s="15" t="inlineStr">
        <is>
          <t>FORGE Match</t>
        </is>
      </c>
      <c r="B11" s="14" t="inlineStr">
        <is>
          <t>FORGE AI's scoring that gives each job a match percentage for a candidate. Already built for the recruiter tool.</t>
        </is>
      </c>
    </row>
    <row r="12">
      <c r="A12" s="15" t="inlineStr">
        <is>
          <t>Voice profile</t>
        </is>
      </c>
      <c r="B12" s="14" t="inlineStr">
        <is>
          <t>What the app learns about how a person writes, so generated text sounds like them, not like generic AI.</t>
        </is>
      </c>
    </row>
    <row r="13">
      <c r="A13" s="15" t="inlineStr">
        <is>
          <t>Checkpoint</t>
        </is>
      </c>
      <c r="B13" s="14" t="inlineStr">
        <is>
          <t>A measured test at the end of each phase. The next phase starts only when it passes.</t>
        </is>
      </c>
    </row>
    <row r="14">
      <c r="A14" s="15" t="inlineStr">
        <is>
          <t>Pilot users</t>
        </is>
      </c>
      <c r="B14" s="14" t="inlineStr">
        <is>
          <t>Real early users who try the app and give feedback before launch.</t>
        </is>
      </c>
    </row>
    <row r="15">
      <c r="A15" s="15" t="inlineStr">
        <is>
          <t>Licensed job-data provider</t>
        </is>
      </c>
      <c r="B15" s="14" t="inlineStr">
        <is>
          <t>A paid service that legally supplies job listings from boards like LinkedIn and Indeed.</t>
        </is>
      </c>
    </row>
    <row r="16">
      <c r="A16" s="15" t="inlineStr">
        <is>
          <t>Group (cohort)</t>
        </is>
      </c>
      <c r="B16" s="14" t="inlineStr">
        <is>
          <t>A batch of people an organisation enrols together, for example one university class.</t>
        </is>
      </c>
    </row>
    <row r="17">
      <c r="A17" s="15" t="inlineStr">
        <is>
          <t>Must have?</t>
        </is>
      </c>
      <c r="B17" s="14" t="inlineStr">
        <is>
          <t>Yes = needed for launch. No = valuable, but can follow shortly after if time runs out.</t>
        </is>
      </c>
    </row>
    <row r="18">
      <c r="A18" s="15" t="inlineStr">
        <is>
          <t>% done</t>
        </is>
      </c>
      <c r="B18" s="14" t="inlineStr">
        <is>
          <t>Worked out from the two statuses: In progress counts as 50%, Being checked 90%, Done 100%.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9396A8"/>
    <outlinePr summaryBelow="1" summaryRight="1"/>
    <pageSetUpPr fitToPage="1"/>
  </sheetPr>
  <dimension ref="A1:I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" customWidth="1" min="3" max="3"/>
    <col width="16" customWidth="1" min="4" max="4"/>
    <col width="18" customWidth="1" min="5" max="5"/>
    <col width="2" customWidth="1" min="6" max="6"/>
    <col width="14" customWidth="1" min="7" max="7"/>
    <col width="12" customWidth="1" min="8" max="8"/>
    <col width="44" customWidth="1" min="9" max="9"/>
  </cols>
  <sheetData>
    <row r="1" ht="24" customHeight="1">
      <c r="A1" s="1" t="inlineStr">
        <is>
          <t>Settings</t>
        </is>
      </c>
    </row>
    <row r="2">
      <c r="A2" s="2" t="inlineStr">
        <is>
          <t>Options used by the dropdowns and dates on the other sheets. Change the start date here and every due date moves.</t>
        </is>
      </c>
    </row>
    <row r="4">
      <c r="A4" s="31" t="inlineStr">
        <is>
          <t>Setting</t>
        </is>
      </c>
      <c r="B4" s="31" t="inlineStr">
        <is>
          <t>Value</t>
        </is>
      </c>
      <c r="D4" s="31" t="inlineStr">
        <is>
          <t>Status</t>
        </is>
      </c>
      <c r="E4" s="31" t="inlineStr">
        <is>
          <t>Counts as finished</t>
        </is>
      </c>
      <c r="G4" s="31" t="inlineStr">
        <is>
          <t>Who</t>
        </is>
      </c>
      <c r="H4" s="31" t="inlineStr">
        <is>
          <t>Must have?</t>
        </is>
      </c>
      <c r="I4" s="31" t="inlineStr">
        <is>
          <t>Phase</t>
        </is>
      </c>
    </row>
    <row r="5">
      <c r="A5" s="12" t="inlineStr">
        <is>
          <t>Project start date (Monday of week 1)</t>
        </is>
      </c>
      <c r="B5" s="32" t="n">
        <v>46300</v>
      </c>
      <c r="D5" s="12" t="inlineStr">
        <is>
          <t>Not started</t>
        </is>
      </c>
      <c r="E5" s="33" t="n">
        <v>0</v>
      </c>
      <c r="G5" s="12" t="inlineStr">
        <is>
          <t>Developer A</t>
        </is>
      </c>
      <c r="H5" s="12" t="inlineStr">
        <is>
          <t>Yes</t>
        </is>
      </c>
      <c r="I5" s="12" t="inlineStr">
        <is>
          <t>Phase 1: Accounts and job matching</t>
        </is>
      </c>
    </row>
    <row r="6">
      <c r="D6" s="12" t="inlineStr">
        <is>
          <t>In progress</t>
        </is>
      </c>
      <c r="E6" s="33" t="n">
        <v>0.5</v>
      </c>
      <c r="G6" s="12" t="inlineStr">
        <is>
          <t>Developer B</t>
        </is>
      </c>
      <c r="H6" s="12" t="inlineStr">
        <is>
          <t>No</t>
        </is>
      </c>
      <c r="I6" s="12" t="inlineStr">
        <is>
          <t>Phase 2: Resumes, learning and own voice</t>
        </is>
      </c>
    </row>
    <row r="7">
      <c r="D7" s="12" t="inlineStr">
        <is>
          <t>Being checked</t>
        </is>
      </c>
      <c r="E7" s="33" t="n">
        <v>0.9</v>
      </c>
      <c r="G7" s="12" t="inlineStr">
        <is>
          <t>Both</t>
        </is>
      </c>
      <c r="I7" s="12" t="inlineStr">
        <is>
          <t>Phase 3: Interview practice and LinkedIn</t>
        </is>
      </c>
    </row>
    <row r="8">
      <c r="D8" s="12" t="inlineStr">
        <is>
          <t>Done</t>
        </is>
      </c>
      <c r="E8" s="33" t="n">
        <v>1</v>
      </c>
      <c r="I8" s="12" t="inlineStr">
        <is>
          <t>Phase 4: Progress tracking and organisations</t>
        </is>
      </c>
    </row>
    <row r="9">
      <c r="D9" s="12" t="inlineStr">
        <is>
          <t>Stuck</t>
        </is>
      </c>
      <c r="E9" s="33" t="n">
        <v>0</v>
      </c>
      <c r="I9" s="12" t="inlineStr">
        <is>
          <t>Phase 5: Launch checks</t>
        </is>
      </c>
    </row>
    <row r="10">
      <c r="D10" s="12" t="inlineStr">
        <is>
          <t>Not needed</t>
        </is>
      </c>
    </row>
    <row r="12">
      <c r="D12" s="30" t="inlineStr">
        <is>
          <t>'Not needed' means the feature has no screen work (or no backend work), so it is left out of the % done.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2026-10-01T13:45:30Z</dcterms:created>
  <dcterms:modified xmlns:dcterms="http://purl.org/dc/terms/" xmlns:xsi="http://www.w3.org/2001/XMLSchema-instance" xsi:type="dcterms:W3CDTF">2026-10-01T13:45:30Z</dcterms:modified>
</cp:coreProperties>
</file>